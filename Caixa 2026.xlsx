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Drive\Docs\Doc_Adm drive\YOHANA\SAIDAS\"/>
    </mc:Choice>
  </mc:AlternateContent>
  <xr:revisionPtr revIDLastSave="7944" documentId="13_ncr:1_{3FB38689-7CA4-4766-82B1-314D5288964F}" xr6:coauthVersionLast="36" xr6:coauthVersionMax="47" xr10:uidLastSave="{8A345CD1-3D25-43C3-9461-67DCB30EEF1D}"/>
  <bookViews>
    <workbookView xWindow="-105" yWindow="-105" windowWidth="23250" windowHeight="12450" tabRatio="601" firstSheet="2" activeTab="4" xr2:uid="{00000000-000D-0000-FFFF-FFFF00000000}"/>
  </bookViews>
  <sheets>
    <sheet name="DESPESAS 01-2026" sheetId="30" r:id="rId1"/>
    <sheet name="DESPESAS 02-2026" sheetId="31" r:id="rId2"/>
    <sheet name="DESPESAS 03-2026" sheetId="32" r:id="rId3"/>
    <sheet name="DESPESAS 04-2026" sheetId="33" r:id="rId4"/>
    <sheet name="DESPESAS 05-2026" sheetId="3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7" i="34" l="1"/>
  <c r="D170" i="34" l="1"/>
  <c r="D153" i="34"/>
  <c r="D79" i="34"/>
  <c r="D77" i="34"/>
  <c r="D75" i="34"/>
  <c r="D72" i="34"/>
  <c r="D71" i="34"/>
  <c r="D63" i="34" l="1"/>
  <c r="D51" i="34"/>
  <c r="C463" i="34"/>
  <c r="C441" i="34"/>
  <c r="D399" i="34"/>
  <c r="K72" i="34"/>
  <c r="S61" i="34"/>
  <c r="R61" i="34"/>
  <c r="Q61" i="34"/>
  <c r="P61" i="34"/>
  <c r="O61" i="34"/>
  <c r="N61" i="34"/>
  <c r="M61" i="34"/>
  <c r="L61" i="34"/>
  <c r="K61" i="34"/>
  <c r="Y18" i="34"/>
  <c r="X17" i="34"/>
  <c r="X19" i="34" s="1"/>
  <c r="W17" i="34"/>
  <c r="W19" i="34" s="1"/>
  <c r="V17" i="34"/>
  <c r="V19" i="34" s="1"/>
  <c r="U17" i="34"/>
  <c r="U19" i="34" s="1"/>
  <c r="T17" i="34"/>
  <c r="T19" i="34" s="1"/>
  <c r="S17" i="34"/>
  <c r="S19" i="34" s="1"/>
  <c r="R17" i="34"/>
  <c r="R19" i="34" s="1"/>
  <c r="Q17" i="34"/>
  <c r="Q19" i="34" s="1"/>
  <c r="P17" i="34"/>
  <c r="P19" i="34" s="1"/>
  <c r="O17" i="34"/>
  <c r="O19" i="34" s="1"/>
  <c r="N17" i="34"/>
  <c r="N19" i="34" s="1"/>
  <c r="M17" i="34"/>
  <c r="M19" i="34" s="1"/>
  <c r="L17" i="34"/>
  <c r="L19" i="34" s="1"/>
  <c r="K17" i="34"/>
  <c r="K19" i="34" s="1"/>
  <c r="Y15" i="34"/>
  <c r="Y14" i="34"/>
  <c r="Y13" i="34"/>
  <c r="Y12" i="34"/>
  <c r="Y11" i="34"/>
  <c r="Y10" i="34"/>
  <c r="Y9" i="34"/>
  <c r="Y8" i="34"/>
  <c r="Y7" i="34"/>
  <c r="Y6" i="34"/>
  <c r="Y5" i="34"/>
  <c r="Y4" i="34"/>
  <c r="Y3" i="34"/>
  <c r="D382" i="34" l="1"/>
  <c r="Y17" i="34"/>
  <c r="Y19" i="34"/>
  <c r="D293" i="33"/>
  <c r="D289" i="33"/>
  <c r="D287" i="33"/>
  <c r="D279" i="33" l="1"/>
  <c r="D275" i="33"/>
  <c r="D274" i="33"/>
  <c r="D265" i="33" l="1"/>
  <c r="D145" i="33"/>
  <c r="D143" i="33"/>
  <c r="D126" i="33"/>
  <c r="C338" i="33"/>
  <c r="C370" i="33" s="1"/>
  <c r="C392" i="33"/>
  <c r="D328" i="33"/>
  <c r="L72" i="33"/>
  <c r="T61" i="33"/>
  <c r="S61" i="33"/>
  <c r="R61" i="33"/>
  <c r="Q61" i="33"/>
  <c r="P61" i="33"/>
  <c r="O61" i="33"/>
  <c r="N61" i="33"/>
  <c r="M61" i="33"/>
  <c r="L61" i="33"/>
  <c r="Z18" i="33"/>
  <c r="Y17" i="33"/>
  <c r="Y19" i="33" s="1"/>
  <c r="X17" i="33"/>
  <c r="X19" i="33" s="1"/>
  <c r="W17" i="33"/>
  <c r="W19" i="33" s="1"/>
  <c r="V17" i="33"/>
  <c r="V19" i="33" s="1"/>
  <c r="U17" i="33"/>
  <c r="U19" i="33" s="1"/>
  <c r="T17" i="33"/>
  <c r="T19" i="33" s="1"/>
  <c r="S17" i="33"/>
  <c r="S19" i="33" s="1"/>
  <c r="R17" i="33"/>
  <c r="R19" i="33" s="1"/>
  <c r="Q17" i="33"/>
  <c r="Q19" i="33" s="1"/>
  <c r="P17" i="33"/>
  <c r="P19" i="33" s="1"/>
  <c r="O17" i="33"/>
  <c r="O19" i="33" s="1"/>
  <c r="N17" i="33"/>
  <c r="N19" i="33" s="1"/>
  <c r="M17" i="33"/>
  <c r="M19" i="33" s="1"/>
  <c r="L17" i="33"/>
  <c r="L19" i="33" s="1"/>
  <c r="Z15" i="33"/>
  <c r="Z14" i="33"/>
  <c r="Z13" i="33"/>
  <c r="Z12" i="33"/>
  <c r="Z11" i="33"/>
  <c r="Z10" i="33"/>
  <c r="Z9" i="33"/>
  <c r="Z8" i="33"/>
  <c r="Z7" i="33"/>
  <c r="Z6" i="33"/>
  <c r="Z5" i="33"/>
  <c r="Z4" i="33"/>
  <c r="Z3" i="33"/>
  <c r="L72" i="32"/>
  <c r="D332" i="32"/>
  <c r="Z17" i="33" l="1"/>
  <c r="Z19" i="33"/>
  <c r="D349" i="32"/>
  <c r="D311" i="33" l="1"/>
  <c r="C413" i="32"/>
  <c r="C391" i="32"/>
  <c r="T61" i="32"/>
  <c r="S61" i="32"/>
  <c r="R61" i="32"/>
  <c r="Q61" i="32"/>
  <c r="P61" i="32"/>
  <c r="O61" i="32"/>
  <c r="N61" i="32"/>
  <c r="M61" i="32"/>
  <c r="L61" i="32"/>
  <c r="Z18" i="32"/>
  <c r="Y17" i="32"/>
  <c r="Y19" i="32" s="1"/>
  <c r="X17" i="32"/>
  <c r="X19" i="32" s="1"/>
  <c r="W17" i="32"/>
  <c r="W19" i="32" s="1"/>
  <c r="V17" i="32"/>
  <c r="V19" i="32" s="1"/>
  <c r="U17" i="32"/>
  <c r="U19" i="32" s="1"/>
  <c r="S17" i="32"/>
  <c r="S19" i="32" s="1"/>
  <c r="R17" i="32"/>
  <c r="R19" i="32" s="1"/>
  <c r="Q17" i="32"/>
  <c r="Q19" i="32" s="1"/>
  <c r="P17" i="32"/>
  <c r="P19" i="32" s="1"/>
  <c r="O17" i="32"/>
  <c r="O19" i="32" s="1"/>
  <c r="M17" i="32"/>
  <c r="M19" i="32" s="1"/>
  <c r="L17" i="32"/>
  <c r="L19" i="32" s="1"/>
  <c r="Z15" i="32"/>
  <c r="Z14" i="32"/>
  <c r="Z13" i="32"/>
  <c r="Z12" i="32"/>
  <c r="T17" i="32"/>
  <c r="T19" i="32" s="1"/>
  <c r="Z10" i="32"/>
  <c r="Z9" i="32"/>
  <c r="Z8" i="32"/>
  <c r="Z7" i="32"/>
  <c r="Z6" i="32"/>
  <c r="Z5" i="32"/>
  <c r="Z4" i="32"/>
  <c r="Z3" i="32"/>
  <c r="N17" i="32" l="1"/>
  <c r="N19" i="32" s="1"/>
  <c r="Z19" i="32" s="1"/>
  <c r="Z11" i="32"/>
  <c r="Z17" i="32" s="1"/>
  <c r="D313" i="31"/>
  <c r="T11" i="31" l="1"/>
  <c r="N6" i="31"/>
  <c r="C376" i="31" l="1"/>
  <c r="C354" i="31"/>
  <c r="D297" i="31"/>
  <c r="T61" i="31"/>
  <c r="S61" i="31"/>
  <c r="R61" i="31"/>
  <c r="Q61" i="31"/>
  <c r="P61" i="31"/>
  <c r="O61" i="31"/>
  <c r="N61" i="31"/>
  <c r="M61" i="31"/>
  <c r="L61" i="31"/>
  <c r="AA18" i="31"/>
  <c r="Z17" i="31"/>
  <c r="Z19" i="31" s="1"/>
  <c r="Y17" i="31"/>
  <c r="Y19" i="31" s="1"/>
  <c r="X17" i="31"/>
  <c r="X19" i="31" s="1"/>
  <c r="W17" i="31"/>
  <c r="W19" i="31" s="1"/>
  <c r="V17" i="31"/>
  <c r="V19" i="31" s="1"/>
  <c r="U17" i="31"/>
  <c r="U19" i="31" s="1"/>
  <c r="T17" i="31"/>
  <c r="T19" i="31" s="1"/>
  <c r="S17" i="31"/>
  <c r="S19" i="31" s="1"/>
  <c r="R17" i="31"/>
  <c r="R19" i="31" s="1"/>
  <c r="Q17" i="31"/>
  <c r="Q19" i="31" s="1"/>
  <c r="P17" i="31"/>
  <c r="P19" i="31" s="1"/>
  <c r="O17" i="31"/>
  <c r="O19" i="31" s="1"/>
  <c r="N17" i="31"/>
  <c r="N19" i="31" s="1"/>
  <c r="M17" i="31"/>
  <c r="M19" i="31" s="1"/>
  <c r="L17" i="31"/>
  <c r="L19" i="31" s="1"/>
  <c r="AA15" i="31"/>
  <c r="AA14" i="31"/>
  <c r="AA13" i="31"/>
  <c r="AA12" i="31"/>
  <c r="AA11" i="31"/>
  <c r="AA10" i="31"/>
  <c r="AA9" i="31"/>
  <c r="AA8" i="31"/>
  <c r="AA7" i="31"/>
  <c r="AA6" i="31"/>
  <c r="AA5" i="31"/>
  <c r="AA4" i="31"/>
  <c r="AA3" i="31"/>
  <c r="AA17" i="31" l="1"/>
  <c r="AA19" i="31"/>
  <c r="Y17" i="30"/>
  <c r="Y19" i="30" s="1"/>
  <c r="D264" i="30" l="1"/>
  <c r="C328" i="30" l="1"/>
  <c r="C306" i="30"/>
  <c r="S61" i="30"/>
  <c r="R61" i="30"/>
  <c r="Q61" i="30"/>
  <c r="N61" i="30"/>
  <c r="P61" i="30"/>
  <c r="AA18" i="30"/>
  <c r="Z17" i="30"/>
  <c r="Z19" i="30" s="1"/>
  <c r="X17" i="30"/>
  <c r="X19" i="30" s="1"/>
  <c r="W17" i="30"/>
  <c r="W19" i="30" s="1"/>
  <c r="V17" i="30"/>
  <c r="V19" i="30" s="1"/>
  <c r="U17" i="30"/>
  <c r="U19" i="30" s="1"/>
  <c r="T17" i="30"/>
  <c r="T19" i="30" s="1"/>
  <c r="S17" i="30"/>
  <c r="S19" i="30" s="1"/>
  <c r="R17" i="30"/>
  <c r="R19" i="30" s="1"/>
  <c r="Q17" i="30"/>
  <c r="Q19" i="30" s="1"/>
  <c r="P17" i="30"/>
  <c r="P19" i="30" s="1"/>
  <c r="O17" i="30"/>
  <c r="O19" i="30" s="1"/>
  <c r="N17" i="30"/>
  <c r="N19" i="30" s="1"/>
  <c r="M17" i="30"/>
  <c r="M19" i="30" s="1"/>
  <c r="L17" i="30"/>
  <c r="L19" i="30" s="1"/>
  <c r="AA15" i="30"/>
  <c r="AA14" i="30"/>
  <c r="AA13" i="30"/>
  <c r="AA12" i="30"/>
  <c r="AA11" i="30"/>
  <c r="AA10" i="30"/>
  <c r="AA9" i="30"/>
  <c r="AA8" i="30"/>
  <c r="AA7" i="30"/>
  <c r="AA6" i="30"/>
  <c r="AA5" i="30"/>
  <c r="AA4" i="30"/>
  <c r="AA3" i="30"/>
  <c r="D248" i="30" l="1"/>
  <c r="AA19" i="30"/>
  <c r="M61" i="30"/>
  <c r="T61" i="30"/>
  <c r="AA17" i="30"/>
  <c r="L61" i="30"/>
  <c r="O61" i="30"/>
</calcChain>
</file>

<file path=xl/sharedStrings.xml><?xml version="1.0" encoding="utf-8"?>
<sst xmlns="http://schemas.openxmlformats.org/spreadsheetml/2006/main" count="9623" uniqueCount="1228">
  <si>
    <t>TOTAL</t>
  </si>
  <si>
    <t/>
  </si>
  <si>
    <t>ADM</t>
  </si>
  <si>
    <t>PAGOS</t>
  </si>
  <si>
    <t>SIM</t>
  </si>
  <si>
    <t>CHAVE PIX: 44-99156-7619</t>
  </si>
  <si>
    <t>VALOR</t>
  </si>
  <si>
    <t>DESCRIÇÃO</t>
  </si>
  <si>
    <t>DESPESA</t>
  </si>
  <si>
    <t>SOLICITADO</t>
  </si>
  <si>
    <t>SOLICITADOS</t>
  </si>
  <si>
    <t>CONTA BB - ARAUJO PREV</t>
  </si>
  <si>
    <t>VALE ALIMENTAÇÃO - TICKET</t>
  </si>
  <si>
    <t>VENCIMENTO</t>
  </si>
  <si>
    <t>DATA PG</t>
  </si>
  <si>
    <t>FOLHA DE PAGAMENTOS</t>
  </si>
  <si>
    <t>ESCRITORIO XAVANTES - CLAUDIO</t>
  </si>
  <si>
    <t>ESCRITORIO XAVANTES - ADENILSON</t>
  </si>
  <si>
    <t xml:space="preserve">SEDEP FAZ </t>
  </si>
  <si>
    <t>COMBUSTIVEL - TEODORO</t>
  </si>
  <si>
    <t>COMBUSTIVEL - TERRA RICA</t>
  </si>
  <si>
    <t>ALUGUEL - TERRA RICA</t>
  </si>
  <si>
    <t>ALUGUEL - PRIMAVERA</t>
  </si>
  <si>
    <t>ALUGUEL - PRESIDENTE VENCESLAU</t>
  </si>
  <si>
    <t>ALUGUEL - TEODORO</t>
  </si>
  <si>
    <t>ALUGUEL - IVINHEMA</t>
  </si>
  <si>
    <t>ALUGUEL - NARANDIBA</t>
  </si>
  <si>
    <t>AGUA - TERRA RICA</t>
  </si>
  <si>
    <t>AGUA - PRESIDENTE VENCESLAU</t>
  </si>
  <si>
    <t>AGUA - TEODORO</t>
  </si>
  <si>
    <t>AGUA - IVINHEMA</t>
  </si>
  <si>
    <t>ENERGIA - TEODORO</t>
  </si>
  <si>
    <t>ENERGIA - IVINHEMA</t>
  </si>
  <si>
    <t>INTERNET - TERRA RICA</t>
  </si>
  <si>
    <t>INTERNET - PRIMAVERA</t>
  </si>
  <si>
    <t>INTERNET - TEODORO</t>
  </si>
  <si>
    <t>INTERNET - IVINHEMA</t>
  </si>
  <si>
    <t>DEPARTAMENTO</t>
  </si>
  <si>
    <t>ADMINISTRATIVO</t>
  </si>
  <si>
    <t>CAMPO</t>
  </si>
  <si>
    <t>TRANSFERIR PARA CONTA: SICREDI</t>
  </si>
  <si>
    <t>GALÕES DE AGUA - TEODORO</t>
  </si>
  <si>
    <t>FAXINA PRIMAVERA</t>
  </si>
  <si>
    <t>TELEFONE FIXO - TERRA RICA</t>
  </si>
  <si>
    <t>CONTROLE CONSUMO DE COMBUSTIVEL</t>
  </si>
  <si>
    <t>FROTA</t>
  </si>
  <si>
    <t>MOBI 01 - RUD-4D14</t>
  </si>
  <si>
    <t>MOBI 02 - RVC-6D19</t>
  </si>
  <si>
    <t>MOBI 09 - RHB-0C15</t>
  </si>
  <si>
    <t>LEANDRO TR</t>
  </si>
  <si>
    <t>JESSICA</t>
  </si>
  <si>
    <t>MOBI 10 - RHA-9D84</t>
  </si>
  <si>
    <t>MOBI 11 - RHB-0C17</t>
  </si>
  <si>
    <t>CARLA</t>
  </si>
  <si>
    <t>MOBI 12 - RHB-0C14</t>
  </si>
  <si>
    <t>LEONARDO</t>
  </si>
  <si>
    <t>MOBI 13 - RHA-8H34</t>
  </si>
  <si>
    <t>CLAUDEIR</t>
  </si>
  <si>
    <t>LEANDRO SP</t>
  </si>
  <si>
    <t>MOBI 14 - RHB-3I00</t>
  </si>
  <si>
    <t>MOBI 15 - RHB-1D15</t>
  </si>
  <si>
    <t>MOTTA</t>
  </si>
  <si>
    <t>MOBI 16 - SEM-8J34</t>
  </si>
  <si>
    <t>MOBI 17 - SEO-5C02</t>
  </si>
  <si>
    <t>MOBI 18 - SEO-9I87</t>
  </si>
  <si>
    <t>ALECIO</t>
  </si>
  <si>
    <t>PAULO</t>
  </si>
  <si>
    <t>MOBI 19 - SFN-7C83</t>
  </si>
  <si>
    <t>DIFERENÇA</t>
  </si>
  <si>
    <t xml:space="preserve"> </t>
  </si>
  <si>
    <t>FATURA CARTÃO DE CRÉDITO</t>
  </si>
  <si>
    <t>VIGIA NOTURNO - TERRA RICA</t>
  </si>
  <si>
    <t>PLANO CELULAR - SEBASTIAO SENA</t>
  </si>
  <si>
    <t>TELEFONE FIXO - PRIMAVERA</t>
  </si>
  <si>
    <t>TELEFONE FIXO - TEODORO</t>
  </si>
  <si>
    <t>PLANO CELULAR - TIM - TERRA RICA</t>
  </si>
  <si>
    <t>INTEGRAÇÃO DE CAPITAL SOCIAL SICREDI</t>
  </si>
  <si>
    <t>CESTA DE RELACIONAMENTO</t>
  </si>
  <si>
    <t xml:space="preserve">   </t>
  </si>
  <si>
    <t>IRRF - UNIPESSOAL CLAUDIO</t>
  </si>
  <si>
    <t>IRRF - UNIPESSOAL ADENILSON</t>
  </si>
  <si>
    <t>ISS - ARAUJO PREV</t>
  </si>
  <si>
    <t>ALOJAMENTO SITE</t>
  </si>
  <si>
    <t>FAXINA - TEODORO</t>
  </si>
  <si>
    <t>TRIBUTOS</t>
  </si>
  <si>
    <t>PRECATORIO</t>
  </si>
  <si>
    <t>FAXINA - TERRA RICA</t>
  </si>
  <si>
    <t>FAXINA - VENCESLAU</t>
  </si>
  <si>
    <t>COMBUSTIVEL DE IVINHEMA</t>
  </si>
  <si>
    <t>DIA DE VENC.</t>
  </si>
  <si>
    <t>25</t>
  </si>
  <si>
    <t>07</t>
  </si>
  <si>
    <t>10</t>
  </si>
  <si>
    <t>19</t>
  </si>
  <si>
    <t>12</t>
  </si>
  <si>
    <t>08</t>
  </si>
  <si>
    <t>20</t>
  </si>
  <si>
    <t>21</t>
  </si>
  <si>
    <t>26</t>
  </si>
  <si>
    <t>06</t>
  </si>
  <si>
    <t>16</t>
  </si>
  <si>
    <t>13</t>
  </si>
  <si>
    <t>15</t>
  </si>
  <si>
    <t>18</t>
  </si>
  <si>
    <t>03</t>
  </si>
  <si>
    <t>05</t>
  </si>
  <si>
    <t>FAXINA - IVINHEMA</t>
  </si>
  <si>
    <t>CONTROLE SEGUROS</t>
  </si>
  <si>
    <t>FORMA PG</t>
  </si>
  <si>
    <t>DEB EM CONTA</t>
  </si>
  <si>
    <t>FAXINA - PRIMAVERA</t>
  </si>
  <si>
    <t>PLANO CELULAR - TIM - TEODORO</t>
  </si>
  <si>
    <t>TARIFA DE CONTA</t>
  </si>
  <si>
    <t>FUNCIONARIOS</t>
  </si>
  <si>
    <t>SEGURO DE VIDA - FUNCIONARIOS</t>
  </si>
  <si>
    <t>B</t>
  </si>
  <si>
    <t>MATHEUS</t>
  </si>
  <si>
    <t>TRANSFERIR PARA CONTA: AG: 992X -  CC: 20.713-6 - PIX:15.199.752/0001-09</t>
  </si>
  <si>
    <t>23</t>
  </si>
  <si>
    <t>31</t>
  </si>
  <si>
    <t>RPV</t>
  </si>
  <si>
    <t>UNIDADE</t>
  </si>
  <si>
    <t>IVINHEMA</t>
  </si>
  <si>
    <t>VENCESLAU</t>
  </si>
  <si>
    <t>PRIMAVERA</t>
  </si>
  <si>
    <t>GERAL</t>
  </si>
  <si>
    <t>TERRA RICA</t>
  </si>
  <si>
    <t>TEODORO</t>
  </si>
  <si>
    <t>ADMNISTRATIVO</t>
  </si>
  <si>
    <t>DESPESAS</t>
  </si>
  <si>
    <t xml:space="preserve">AGUA </t>
  </si>
  <si>
    <t>TREINANDO</t>
  </si>
  <si>
    <t>COMBUSTIVEL - EUCLIDES</t>
  </si>
  <si>
    <t>ENERGIA</t>
  </si>
  <si>
    <t>INTERNET</t>
  </si>
  <si>
    <t>MANUTENÇÃO</t>
  </si>
  <si>
    <t>COMBUSTIVEL</t>
  </si>
  <si>
    <t>ALUGUEL</t>
  </si>
  <si>
    <t>SEGURO</t>
  </si>
  <si>
    <t>FAXINAS</t>
  </si>
  <si>
    <t>PLANO DE CELULARES</t>
  </si>
  <si>
    <t>FINANCIAMENTO</t>
  </si>
  <si>
    <t>SEGUROS</t>
  </si>
  <si>
    <t>DESPESAS EXTRAS</t>
  </si>
  <si>
    <t>22</t>
  </si>
  <si>
    <t>DESPESAS E CONTROLE POR UNIDADES</t>
  </si>
  <si>
    <t>ESC / SETOR</t>
  </si>
  <si>
    <t>TIPO DE DESPESA</t>
  </si>
  <si>
    <t xml:space="preserve">EXTRA </t>
  </si>
  <si>
    <t>PLANO CELULAR</t>
  </si>
  <si>
    <t>FAXINA</t>
  </si>
  <si>
    <t>COMPRA RPV/ PRECATORIO</t>
  </si>
  <si>
    <t>AGUA</t>
  </si>
  <si>
    <t>RPV/ PRECATORIO</t>
  </si>
  <si>
    <t>AG: 0728 - CC: 37.895-2 CNPJ: 15.199.752/0001-09</t>
  </si>
  <si>
    <t>COMPRA DE RPV</t>
  </si>
  <si>
    <t>PROPAGANDA RADIO - TERRA HD - TERRA RICA</t>
  </si>
  <si>
    <t>DIFERENÇA DE COMBUSTIVEL - LEANDRO PR</t>
  </si>
  <si>
    <t>COMBUSTIVEL - VENCESLAU</t>
  </si>
  <si>
    <t>PAGAMENTOS - SICREDI</t>
  </si>
  <si>
    <t>PAGAMENTO - BB</t>
  </si>
  <si>
    <t xml:space="preserve">AGUA - PRIMAVERA </t>
  </si>
  <si>
    <t>VALIDADE</t>
  </si>
  <si>
    <t>PROPRIETARIO</t>
  </si>
  <si>
    <t>LOCAL DEBITO</t>
  </si>
  <si>
    <t>CLAUDIO SOC. IND</t>
  </si>
  <si>
    <t>CART. ARAUJO</t>
  </si>
  <si>
    <t>ARAUJO PREV</t>
  </si>
  <si>
    <t>SEGURADORA</t>
  </si>
  <si>
    <t>HDI</t>
  </si>
  <si>
    <t>ADENILSON</t>
  </si>
  <si>
    <t>YELUM</t>
  </si>
  <si>
    <t>CC ARAUJO</t>
  </si>
  <si>
    <t>CLAUDIO</t>
  </si>
  <si>
    <t>CC PJ ADENILSON</t>
  </si>
  <si>
    <t>ALLIANZ</t>
  </si>
  <si>
    <t>10X BOLETO</t>
  </si>
  <si>
    <t>10X CARTÃO</t>
  </si>
  <si>
    <t>10X DEB EM CONTA</t>
  </si>
  <si>
    <t>ADENILSON SOC</t>
  </si>
  <si>
    <t>6X DEB EM CONTA</t>
  </si>
  <si>
    <t>ABASTECIMENTO - ROSELI - COLORADO</t>
  </si>
  <si>
    <t>CORRETORA</t>
  </si>
  <si>
    <t>SICREDI</t>
  </si>
  <si>
    <t>MOEMA</t>
  </si>
  <si>
    <t>ROSELI</t>
  </si>
  <si>
    <t>ADMINISTRATIVO - JESSICA - EDITH MARIA DA SILVA MARQUES</t>
  </si>
  <si>
    <t xml:space="preserve">COMPRA DE PRECATORIO </t>
  </si>
  <si>
    <t>COMPRA</t>
  </si>
  <si>
    <t>ENERGIA - TERRA RICA</t>
  </si>
  <si>
    <t>MATERIAS DE LIMPEZA</t>
  </si>
  <si>
    <t>ENERGIA - VENCESLAU</t>
  </si>
  <si>
    <t>SEGURO MOBI 019</t>
  </si>
  <si>
    <t>FAXINA TERRA RICA</t>
  </si>
  <si>
    <t xml:space="preserve">COMPRA DE RPV - </t>
  </si>
  <si>
    <t xml:space="preserve">DESPESAS DE CARTORIO - </t>
  </si>
  <si>
    <t>PLANO DE CELULARES - VIVO débito em conta</t>
  </si>
  <si>
    <t>VITOR</t>
  </si>
  <si>
    <t xml:space="preserve">COMPRA DE PRECATORIO - </t>
  </si>
  <si>
    <t xml:space="preserve">RECONHECIMENTO DE FIRMA -  </t>
  </si>
  <si>
    <t>MATERIAL DE LIMPEZA - VENCESLAU</t>
  </si>
  <si>
    <t>REFEIÇÃO</t>
  </si>
  <si>
    <t>REFEIÇÃO - MOTTA - TEODORO</t>
  </si>
  <si>
    <t>DIFERENÇA DE COMBUSTIVEL - ALECIO</t>
  </si>
  <si>
    <t>MARKETING ARAUJO PREV - MENSALIDADE</t>
  </si>
  <si>
    <t>TRAFEGO PAGO - MARKETING 1/3</t>
  </si>
  <si>
    <t xml:space="preserve">CHAVE PIX: financeiroaraujoprev@gmail.com </t>
  </si>
  <si>
    <t>TARIFA FOLHA DE PAGAMENTO</t>
  </si>
  <si>
    <t>TRAFEGO PAGO - MARKETING 2/3</t>
  </si>
  <si>
    <t>ADMINISTRATIVO - JESSICA - EUNICE DE FÁTIMA</t>
  </si>
  <si>
    <t>GALÃO DE AGUA - VENCESLAU</t>
  </si>
  <si>
    <t>DIFERENÇA DE COMBUSTIVEL - PAULO</t>
  </si>
  <si>
    <t>DIFERENÇA DE COMBUSTIVEL - LEANDRO SP</t>
  </si>
  <si>
    <t>COMISSÃO 7 PROCEDENCIAS - AMANDA - IVINHEMA</t>
  </si>
  <si>
    <t>INTERNET VENCESLAU</t>
  </si>
  <si>
    <t>AGUA - PRIMAVERA - PRÉDIO NOVO</t>
  </si>
  <si>
    <t>TRAFEGO PAGO - MARKETING 3/3</t>
  </si>
  <si>
    <t>MATERIAL DE LIMPEZA - TEODORO</t>
  </si>
  <si>
    <t>MURILO</t>
  </si>
  <si>
    <t>ALEXSANDRO</t>
  </si>
  <si>
    <t>PODA DE GRAMA - IVINHEMA</t>
  </si>
  <si>
    <t>03 REFEIÇÕES - PAULO EM MS</t>
  </si>
  <si>
    <t>ENERGIA - PRIMAVERA - PRÉDIO ANTIGO</t>
  </si>
  <si>
    <t>COMPRA 1 PRECATÓRIO - ANTHONY</t>
  </si>
  <si>
    <t>METADE - COMPRA 1 PRECATÓRIO - MARIA ROSA</t>
  </si>
  <si>
    <t>METADE - COMPRA 1 PRECATÓRIO - NICOLY</t>
  </si>
  <si>
    <t>MATERIAL DE LIMPEZA - TERRA RICA</t>
  </si>
  <si>
    <t xml:space="preserve">ENERGIA - PRIMAVERA </t>
  </si>
  <si>
    <t>MELHORES DO ANO - TERRA RICA 3/3</t>
  </si>
  <si>
    <t>INSS COMPETENCIA 12/2025</t>
  </si>
  <si>
    <t>FGTS COMPETENCIA 12/2025</t>
  </si>
  <si>
    <t>SALDO ENCAMINHADO A MAIS</t>
  </si>
  <si>
    <t>SEGURO MOBI 012 - 09/10</t>
  </si>
  <si>
    <t>BONÉS 3/3</t>
  </si>
  <si>
    <t>COMBUSTIVEL - MANDAGUAÇU</t>
  </si>
  <si>
    <t>ESCRITÓRIO CARVALHO - MENSALIDADE</t>
  </si>
  <si>
    <t>CALENDARIOS 2026 3/3</t>
  </si>
  <si>
    <t>ADMINISTRATIVO - LEANDRO PR - MARTA DO NASCIMENTO GONÇALVES</t>
  </si>
  <si>
    <t>ESCRITORIO XAVANTES - CLAUDIO - 13°</t>
  </si>
  <si>
    <t>ESCRITORIO XAVANTES - ADENILSON - 13°</t>
  </si>
  <si>
    <t>CERTIDÃO DE ADVOGADOS CONSTITUIDO - MARLETE TELES MS - ADENILSON</t>
  </si>
  <si>
    <t>CERTIDÃO DE ADVOGADOS CONSTITUIDO - MARLETE TELES MS - CLAUDIO</t>
  </si>
  <si>
    <t>DEVOLUÇÃO BENEFICIO PAGO A MAIS - JOSÉ ADALBERTO CAETANO - TEODORO</t>
  </si>
  <si>
    <t>BONUS - SENA</t>
  </si>
  <si>
    <t>RESCISÃO CONTRATUAL - VICTOR DA SILVA SANT ANA</t>
  </si>
  <si>
    <t>FGTS - VICTOR DA SILVA SANT ANA</t>
  </si>
  <si>
    <t>COMPRA 2 RPV - ALINE</t>
  </si>
  <si>
    <t>METADE - COMPRA 1 RPV - CLARA</t>
  </si>
  <si>
    <t>METADE - COMPRA 1 RPV - MICHELE</t>
  </si>
  <si>
    <t>METADE - COMPRA 2 RPV - MARIA ROSA</t>
  </si>
  <si>
    <t>METADE - COMPRA 2 RPV - NICOLY</t>
  </si>
  <si>
    <t>COMPRA 2 PRECATÓRIO - JONAS</t>
  </si>
  <si>
    <t>COMPRA 5 RPV - JONAS</t>
  </si>
  <si>
    <t>COMISSÃO 11 PROCEDENCIAS - VENERA - TERRA RICA</t>
  </si>
  <si>
    <t>COMISSÃO 2 PROCEDENCIAS - JAQUELINE - TEODORO</t>
  </si>
  <si>
    <t>COMISSÃO 2 PROCEDENCIAS - VALÉRIA - VENCESLAU</t>
  </si>
  <si>
    <t>COMISSÃO 2 PROCEDENCIAS - PAULA FERNANDA - VENCESLAU</t>
  </si>
  <si>
    <t>SUPORTE CPU - RECEPÇÃO - TERRA RICA</t>
  </si>
  <si>
    <t>COMISSÃO CORDENADORA - JAQUELINE - 22 AÇOES</t>
  </si>
  <si>
    <t>PARCELA 05/12 - EMPRESTIMO MOTTA</t>
  </si>
  <si>
    <t>MULTA - MOBI 01 - NÃO IDENTIFICAÇÃO DO CONDUTOR</t>
  </si>
  <si>
    <t>GUIA DE GRU - EURIDES DA SILVA COSTA</t>
  </si>
  <si>
    <t>GUIA DE GRU - LUANA MARTINS DOS SANTOS</t>
  </si>
  <si>
    <t>GUIA DE GRU - ROSANGELA DA ROCHA SANTOS</t>
  </si>
  <si>
    <t>GUIA DE GRU - FRANCINILTON SANTANA DE OLIVEIRA</t>
  </si>
  <si>
    <t>GUIA DE GRU - VALDINEIA SANTOS SILVA</t>
  </si>
  <si>
    <t>GUIA DE GRU - HAILTON GOMES CHAVES JUNIOR</t>
  </si>
  <si>
    <t>DIFERENÇA DE COMBUSTIVEL - CARLA</t>
  </si>
  <si>
    <t>DIFERENÇA DE COMBUSTIVEL - CLAUDEIR</t>
  </si>
  <si>
    <t>COMISSÃO 15 AÇÕES - COORDENADOR - PAULO</t>
  </si>
  <si>
    <t>COMISSÃO 7 AÇÕES - COORDENADOR - LEANDRO SP</t>
  </si>
  <si>
    <t>COMISSÃO 87 AÇÕES - COORDENADOR - MOTTA</t>
  </si>
  <si>
    <t>MOBI 01 - IPVA 1/5</t>
  </si>
  <si>
    <t>MOBI 02 - IPVA 1/5</t>
  </si>
  <si>
    <t>MOBI 10 - IPVA 1/5</t>
  </si>
  <si>
    <t>MOBI 11 - IPVA 1/5</t>
  </si>
  <si>
    <t>MOBI 12 - IPVA 1/5</t>
  </si>
  <si>
    <t>MOBI 13 - IPVA 1/5</t>
  </si>
  <si>
    <t>MOBI 14 - IPVA 1/5</t>
  </si>
  <si>
    <t>MOBI 15 - IPVA 1/5</t>
  </si>
  <si>
    <t>MOBI 16 - IPVA 1/5</t>
  </si>
  <si>
    <t>MOBI 17 - IPVA 1/5</t>
  </si>
  <si>
    <t>MOBI 18 - IPVA 1/5</t>
  </si>
  <si>
    <t>MOBI 19 - IPVA 1/5</t>
  </si>
  <si>
    <t>14</t>
  </si>
  <si>
    <t>09</t>
  </si>
  <si>
    <t>MOBI 09 - IPVA 1/5</t>
  </si>
  <si>
    <t>2 ACOES - DEZEMBRO - ALECIO</t>
  </si>
  <si>
    <t>1  ACAO - DEZEMBRO - LEANDRO PR</t>
  </si>
  <si>
    <t>BONIFICAÇÃO PARA 250 - LEANDRO PR</t>
  </si>
  <si>
    <t>1 ACAO - DEZEMBRO - MOTTA</t>
  </si>
  <si>
    <t>3 ACOES - DEZEMBRO - MATHEUS</t>
  </si>
  <si>
    <t>1 ACAO - DEZEMBRO - ROSELI</t>
  </si>
  <si>
    <t>COMISSÃO 1 AÇAO COORDENADOR MOTTA</t>
  </si>
  <si>
    <t>COMPRA DE PRECATORIO - LUCIENE REGINA FÁVARO</t>
  </si>
  <si>
    <t>AG: 0728 CC: 52.110-7 CPF: 117.282.378-23</t>
  </si>
  <si>
    <t>COMPRA DE RPV - ODETE MARIA DA SILVA</t>
  </si>
  <si>
    <t>DESPESAS DE CARTORIO - ODETE MARIA DA SILVA</t>
  </si>
  <si>
    <t>RECONHECIMENTO DE FIRMA -  LUCIENE REGINA FÁVARO</t>
  </si>
  <si>
    <t>MANUTENÇÃO DE CONTA</t>
  </si>
  <si>
    <t>03 REFEIÇÕES - LEANDRO PR EM MS</t>
  </si>
  <si>
    <t>CONCERTO E MANUTENÇÃO DE CALHAS - TERRA RICA</t>
  </si>
  <si>
    <t>CAIXA DE RESMA</t>
  </si>
  <si>
    <t>RÁDIO TERRA HD - MENSAGEM DE NATAL 1/2</t>
  </si>
  <si>
    <t xml:space="preserve">ALFA PAPELARIA - TEODORO </t>
  </si>
  <si>
    <t>ALUGUEL IMPRESSOA - VENCESLAU</t>
  </si>
  <si>
    <t>PARCELA MOBI 16 - 32/48</t>
  </si>
  <si>
    <t>30 DIAS FÉRIAS - PAULO</t>
  </si>
  <si>
    <t>RESCISÃO CONTRATUAL - JESSICA FLAVIA GIANNASI CRUZ</t>
  </si>
  <si>
    <t>DEVOLUÇÃO AVISO PRÉVIO - JESSICA FLAVIA GIANNASI CRUZ</t>
  </si>
  <si>
    <t>ADMINISTRATIVO - FABIANO - AMAURI JOSE DA SILVA</t>
  </si>
  <si>
    <t>ADMINISTRATIVO - LEANDRO - ALINE FREITAS SANTOS</t>
  </si>
  <si>
    <t>ADMINISTRATIVO - LEANDRO - REINALDO ANTONIO DOS SANTOS</t>
  </si>
  <si>
    <t>ADMINISTRATIVO - PAULO - SILVANE DA SILVA</t>
  </si>
  <si>
    <t>RECONHECIMENTO DE FIRMA CONTRATO - LUCIENE REGINA FAVARO</t>
  </si>
  <si>
    <t>ISS - ADENILSON</t>
  </si>
  <si>
    <t>ISS - CLAUDIO</t>
  </si>
  <si>
    <t>FGTS COMPETENCIA 13°</t>
  </si>
  <si>
    <t>SALDO A MAIS</t>
  </si>
  <si>
    <t>MATERIAL DE ESCRITORIO - TERRA RICA</t>
  </si>
  <si>
    <t>ADMINISTRATIVO - LEANDRO PR - ALINE FREITAS - CORREÇÃO R$</t>
  </si>
  <si>
    <t>CONSERTO DA CALHA - ESCRITORIO TERRA RICA</t>
  </si>
  <si>
    <t>UTILIZAÇÃO DE CHEQUE ESPECIAL</t>
  </si>
  <si>
    <t>COMBUSTIVEL IVINHEMA</t>
  </si>
  <si>
    <t>20 DIAS - FÉRIAS - ALECIO</t>
  </si>
  <si>
    <t>2 REFEIÇÕES - PAULO - IVINHEMA</t>
  </si>
  <si>
    <t>TRAVESSIA DE BALSA - PAULO - EUCLIDES</t>
  </si>
  <si>
    <t>2 AÇÕES DA SEMANA - JANEIRO - CARLA</t>
  </si>
  <si>
    <t>COMPRA DE RPV - MARLI DO CARMO</t>
  </si>
  <si>
    <t>DESPESAS DE CARTORIO - MARLI DO CARMO</t>
  </si>
  <si>
    <t>PARCELA MOBI 18 - 31/48</t>
  </si>
  <si>
    <t>PARCELA MOBI 17 - 31/48</t>
  </si>
  <si>
    <t>SISTEMA DE MONITORAMENTO - CAC 8/9</t>
  </si>
  <si>
    <t>OAB - PAMELA DIAS - 01/12</t>
  </si>
  <si>
    <t>OAB - JAQUELINE CAMPOS - 01/12</t>
  </si>
  <si>
    <t>OAB - PAULA FERNANDES - 01/12</t>
  </si>
  <si>
    <t>OAB - VALERIA MONTEIRO - 01/12</t>
  </si>
  <si>
    <t>CAFÉ DA MANHÃ - RECEPÇÃO - RAFAEL - PRIMAVERA</t>
  </si>
  <si>
    <t>15 DIAS - FÉRIAS - BRUNA</t>
  </si>
  <si>
    <t>DARF - GANHO DE CAPITAL - DELANO - ADENILSON</t>
  </si>
  <si>
    <t>DARF - GANHO DE CAPITAL - DELANO - CLAUDIO</t>
  </si>
  <si>
    <t>EXAMES PERIODICOS - R M SEGURANÇA DO TRABALHO</t>
  </si>
  <si>
    <t>ADMINISTRATIVO - FABIANO - MARTA FERREIRA SANZARINE NUNES</t>
  </si>
  <si>
    <t>FAXINA IVINHEMA</t>
  </si>
  <si>
    <t>EXAME DEMISSIONAL - JESSICA</t>
  </si>
  <si>
    <t>SALDO ENCAMINHADO A MENOS 21/01</t>
  </si>
  <si>
    <t>CONSERTO DA PORTA - RECEPÇÃO - TERRA RICA</t>
  </si>
  <si>
    <t>COMPRA DE RPV - MARCIA REGINA DE OLIVEIRA</t>
  </si>
  <si>
    <t>DESPESAS DE CARTORIO - MARCIA REGINA DE OLIVEIRA</t>
  </si>
  <si>
    <t>COMPRA DE PRECATORIO - FERNANDO PEREIRA DA SILVA</t>
  </si>
  <si>
    <t>RECONHECIMENTO DE FIRMA -  FERNANDO PEREIRA DA SILVA</t>
  </si>
  <si>
    <t>ADMISSIONAL - RODRIGO - CAMPO</t>
  </si>
  <si>
    <t>MANUTENÇÃO AR CONDICIONADO - TERRA RICA</t>
  </si>
  <si>
    <t>REFEIÇÃO TIAGO - PRECATÓRIO - LOANDA</t>
  </si>
  <si>
    <t>DEMISSIONAL - VICTOR</t>
  </si>
  <si>
    <t>BALSA - CARLA - BUSCAR O MOBI 017</t>
  </si>
  <si>
    <t>COMPRA DE RPV - JOANA DA SILVA PEREIRA MELO</t>
  </si>
  <si>
    <t>DESPESAS DE CARTORIO - JOANA DA SILVA PEREIRA MELO</t>
  </si>
  <si>
    <t xml:space="preserve">COMBUSTIVEL E TROCA DE OLEO - ROSELI </t>
  </si>
  <si>
    <t>4 AÇOES DA SEMANA - JANEIRO - CARLA</t>
  </si>
  <si>
    <t>6 AÇÕES DA SEMANA - JANEIRO - CLAUDEIR</t>
  </si>
  <si>
    <t>1 SAL. MATERNIDADE - JANEIRO - LEANDRO PR</t>
  </si>
  <si>
    <t xml:space="preserve">3 SAL. MATERNIDADE - JANEIRO - CARLA </t>
  </si>
  <si>
    <t>4 AÇOES DA SEMANA - JANEIRO - LEANDRO SP</t>
  </si>
  <si>
    <t>1 AÇÃO DA SEMANA - JANEIRO - MURILO</t>
  </si>
  <si>
    <t>MULTA - MOBI 02 - NÃO IDENTIFICAÇÃO DO CONDUTOR</t>
  </si>
  <si>
    <t>ESTADIA - MATHEUS - LOANDA</t>
  </si>
  <si>
    <t>REFEIÇÃO - MATHEUS - LOANDA</t>
  </si>
  <si>
    <t>CONCERTO - PNEU - MOBI 010; 012; E 019</t>
  </si>
  <si>
    <t>MULTA - MOBI 01 - LEONARDO</t>
  </si>
  <si>
    <t>PARCELA MOBI 019 - 20/48</t>
  </si>
  <si>
    <t>COMPRA DE RPV - JOSE DUTRA DOS SANTOS FILHO</t>
  </si>
  <si>
    <t>DESPESAS DE CARTORIO - JOSE DUTRA DOS SANTOS FILHO</t>
  </si>
  <si>
    <t>CONCERTO - LAMPADA - MOBI 013</t>
  </si>
  <si>
    <t xml:space="preserve">4 REFEIÇÕES - CLAUDEIR EM MS </t>
  </si>
  <si>
    <t xml:space="preserve">MANUTENÇÃO - TEODORO </t>
  </si>
  <si>
    <t>COMPRA DE RPV - IVONE JESUS MIRANDA</t>
  </si>
  <si>
    <t>DESPESAS DE CARTORIO - IVONE JESUS MIRANDA</t>
  </si>
  <si>
    <t>OK</t>
  </si>
  <si>
    <t>COMPRA DE RPV - JOSE CICERO GOMES DA SILVA</t>
  </si>
  <si>
    <t>DESPESAS DE CARTORIO - JOSE CICERO GOMES DA SILVA</t>
  </si>
  <si>
    <t>COMPRA DE RPV - SOLANGE FARIAS GOMES DE CARVALHO</t>
  </si>
  <si>
    <t>DESPESAS DE CARTORIO - SOLANGE FARIAS GOMES DE CARVALHO</t>
  </si>
  <si>
    <t>SALDO EM CONTA</t>
  </si>
  <si>
    <t>3 AÇÕES DA SEMANA - JANEIRO - ALEXSANDRO</t>
  </si>
  <si>
    <t>AJUDA DE CUSTO - TREINAMENTO - RODRIGO</t>
  </si>
  <si>
    <t>3 AÇÕES DA SEMANA - JANEIRO - CARLA</t>
  </si>
  <si>
    <t>4 AÇÕES DA SEMANA - JANEIRO - CLAUDEIR</t>
  </si>
  <si>
    <t>BONIFICAÇÃO PARA 200 - CLAUDEIR</t>
  </si>
  <si>
    <t>1 AÇÃO DA SEMANA - JANEIRO - MATHEUS</t>
  </si>
  <si>
    <t>4 AÇÕES DA SEMANA - JANEIRO - PAULO</t>
  </si>
  <si>
    <t>2 AÇÕES DO MÊS - INTERNA - JANEIRO - ALINE</t>
  </si>
  <si>
    <t>1 AÇÃO DO MÊS - EXTERNA - JANEIRO - JAQUELINE</t>
  </si>
  <si>
    <t>METADE 1 AÇÃO DO MÊS - INTERNO - JANEIRO - MARIA ROSA</t>
  </si>
  <si>
    <t>METADE 1 AÇÃO DO MÊS - INTERNO - JANEIRO - NYCOLLY</t>
  </si>
  <si>
    <t>ADM - PAMELA SHIMADA - EDIVALDO DOS SANTOS GUIMARAES</t>
  </si>
  <si>
    <t>METADE ADM/EXTERNO - MARIA ROSA - MARIA ODETE ALMEIDA SANTOS</t>
  </si>
  <si>
    <t>METADE ADM/EXTERNO - NYCOLLY - MARIA ODETE ALMEIDA SANTOS</t>
  </si>
  <si>
    <t>ADM/EXTERNO - RAYSSA - MARIA DE LOURDES CARDOZO</t>
  </si>
  <si>
    <t>ADM/EXTERNO - RAYSSA - JUDITE DE OLIVEIRA EUGENIO</t>
  </si>
  <si>
    <t>1 AÇÃO DA SEMANA - JANEIRO - MOTTA</t>
  </si>
  <si>
    <t>SEGURO MOBI 012 - 10/10</t>
  </si>
  <si>
    <t>SALDO A MENOS EM CONTA</t>
  </si>
  <si>
    <t>ANIVERSARIANTES DO MÊS - JANEIRO - TERRA RICA</t>
  </si>
  <si>
    <t>RECEPÇÃO - DANIELA, JOÃO RAFAEL, RODRIGO.</t>
  </si>
  <si>
    <t>PEDAGIO - LEANDRO SP</t>
  </si>
  <si>
    <t xml:space="preserve">20 DIAS - FÉRIAS - PAMELA SHIMADA </t>
  </si>
  <si>
    <t>5 REFEIÇÕES - RODRIGO - TREINAMENTO</t>
  </si>
  <si>
    <t>ACORDO SEBASTIÃO SENA</t>
  </si>
  <si>
    <t>EMPRESTIMO SEBASTIÃO SENA</t>
  </si>
  <si>
    <t>3 REFEIÇÕES - LEANDRO PR EM MS</t>
  </si>
  <si>
    <t>REFEIÇÃO - TIAGO E FABIANO - ALVARA</t>
  </si>
  <si>
    <t>GALÃOES DE AGUA - TERRA RICA</t>
  </si>
  <si>
    <t>COFFE BREAK - CAMPO</t>
  </si>
  <si>
    <t>GUIA DE GRU - MARCELA REGINA MIRANDA</t>
  </si>
  <si>
    <t>GUIA DE GRU - MARIA DE FÁTIMA AMARAL SANTOS</t>
  </si>
  <si>
    <t>GUIA DE GRU - MARIA DA GRAÇA REAL DOS SANTOS</t>
  </si>
  <si>
    <t>GUIA DE GRU - CLAUDIO CESAR DOS SANTOS</t>
  </si>
  <si>
    <t>GUIA DE GRU - APARECIDA DE FATIMA CRUZ</t>
  </si>
  <si>
    <t>IOF DA CONTA</t>
  </si>
  <si>
    <t>REFEIÇÃO - LUCAS E TIAGO - VENCESLAU</t>
  </si>
  <si>
    <t>ABASTECIMENTO - TIAGO - VENCESLAU</t>
  </si>
  <si>
    <t>MATERIAL DE LIMPEZA - IVINHEMA</t>
  </si>
  <si>
    <t>ENERGIA - PRIMAVERA - MÊS ANTERIOR</t>
  </si>
  <si>
    <t>SALARIO PROPORCIONAL - JANEIRO - RAFAEL</t>
  </si>
  <si>
    <t>COMPRA DE RPV - LUIS HENRIQUE DE OLIVEIRA SILVA</t>
  </si>
  <si>
    <t>DESPESAS DE CARTORIO - LUIS HENRIQUE DE OLIVEIRA SILVA</t>
  </si>
  <si>
    <t>ENCAMINHADO A MAIS</t>
  </si>
  <si>
    <t>MOBI 10 - IPVA 2/5</t>
  </si>
  <si>
    <t>MOBI 10 - IPVA 3/5</t>
  </si>
  <si>
    <t>MOBI 10 - IPVA 4/5</t>
  </si>
  <si>
    <t>MOBI 10 - IPVA 5/5</t>
  </si>
  <si>
    <t>MOBI 11 - IPVA 2/5</t>
  </si>
  <si>
    <t>MOBI 11 - IPVA 3/5</t>
  </si>
  <si>
    <t>MOBI 11 - IPVA 4/5</t>
  </si>
  <si>
    <t>MOBI 11 - IPVA 5/5</t>
  </si>
  <si>
    <t>MOBI 12 - IPVA 2/5</t>
  </si>
  <si>
    <t>MOBI 12 - IPVA 3/5</t>
  </si>
  <si>
    <t>MOBI 12 - IPVA 4/5</t>
  </si>
  <si>
    <t>MOBI 12 - IPVA 5/5</t>
  </si>
  <si>
    <t>MOBI 15 - IPVA 2/5</t>
  </si>
  <si>
    <t>MOBI 15 - IPVA 3/5</t>
  </si>
  <si>
    <t>MOBI 15 - IPVA 4/5</t>
  </si>
  <si>
    <t>MOBI 15 - IPVA 5/5</t>
  </si>
  <si>
    <t>MOBI 18 - IPVA 2/5</t>
  </si>
  <si>
    <t>MOBI 18 - IPVA 3/5</t>
  </si>
  <si>
    <t>MOBI 18 - IPVA 4/5</t>
  </si>
  <si>
    <t>MOBI 18 - IPVA 5/5</t>
  </si>
  <si>
    <t>LICENCIAMENTO - MOBI 10</t>
  </si>
  <si>
    <t>LICENCIAMENTO - MOBI 11</t>
  </si>
  <si>
    <t>LICENCIAMENTO - MOBI 12</t>
  </si>
  <si>
    <t>LICENCIAMENTO - MOBI 15</t>
  </si>
  <si>
    <t>LICENCIAMENTO - MOBI 18</t>
  </si>
  <si>
    <t>GUIA GRU - ERENITA JOSE COSTA NUNES</t>
  </si>
  <si>
    <t>GUIA GRU - ODETE MARIA DA SILVA</t>
  </si>
  <si>
    <t>GUIA GRU - JOSEFA BORGES DA SILVA</t>
  </si>
  <si>
    <t>GUIA GRU - JOSE AILTON GASPAR SANTANA</t>
  </si>
  <si>
    <t>2 AÇÕES - JANEIRO - CARLA</t>
  </si>
  <si>
    <t>1 AÇÃO - JANEIRO - CLAUDEIR</t>
  </si>
  <si>
    <t>BONIFICAÇÃO PARA 250 - JANEIRO - CLAUDEIR</t>
  </si>
  <si>
    <t>1 AÇÃO - JANEIRO - MURILO</t>
  </si>
  <si>
    <t>1 SAL. MATERNIDADE - JANEIRO - MURILO</t>
  </si>
  <si>
    <t>8 AÇÕES - JANEIRO - PAULO</t>
  </si>
  <si>
    <t>BONIFICAÇÃO PARA 200 - JANEIRO - PAULO</t>
  </si>
  <si>
    <t>BONIFICAÇÃO PARA 250 - JANEIRO - PAULO</t>
  </si>
  <si>
    <t>1 AÇÃO - JANEIRO - ROSELI</t>
  </si>
  <si>
    <t>1 SAL. MATERNIDADE - FEVEREIRO - CARLA</t>
  </si>
  <si>
    <t>2 AÇÕES DA SEMANA - FEVEREIRO - LEANDRO SP</t>
  </si>
  <si>
    <t>4 AÇÕES - JANEIRO - MATHEUS</t>
  </si>
  <si>
    <t>1 AÇÃO DA SEMANA - FEVEREIRO - MATHEUS</t>
  </si>
  <si>
    <t>COMPRA DE PRECATORIO - JORGE PEREIRA DO AMARAL</t>
  </si>
  <si>
    <t>RECONHECIMENTO DE FIRMA -  JORGE PEREIRA DO AMARAL</t>
  </si>
  <si>
    <t>SEGURO - MOBI 013 - 7/10</t>
  </si>
  <si>
    <t>SULFITE - VENCESLAU</t>
  </si>
  <si>
    <t>MOBI 01 - IPVA 2/5</t>
  </si>
  <si>
    <t>MOBI 02 - IPVA 2/5</t>
  </si>
  <si>
    <t>MOBI 09 - IPVA 2/5</t>
  </si>
  <si>
    <t>MOBI 13 - IPVA 2/5</t>
  </si>
  <si>
    <t>MOBI 14 - IPVA 2/5</t>
  </si>
  <si>
    <t>MOBI 16 - IPVA 2/5</t>
  </si>
  <si>
    <t>MOBI 17 - IPVA 2/5</t>
  </si>
  <si>
    <t>MOBI 19 - IPVA 2/5</t>
  </si>
  <si>
    <t>PAPEL TOALHA P/ BANHEIRO - TERRA RICA</t>
  </si>
  <si>
    <t>ADMISSIONAL - DANIELA - TERRA RICA</t>
  </si>
  <si>
    <t>RÁDIO TERRA HD - MENSAGEM DE NATAL 2/2</t>
  </si>
  <si>
    <t>MATERIAL DE LIMPEZA - PRIMAVERA</t>
  </si>
  <si>
    <t>AGUA - VENCESLAU</t>
  </si>
  <si>
    <t xml:space="preserve">                       </t>
  </si>
  <si>
    <t>INTERNET - VENCESLAU</t>
  </si>
  <si>
    <t>COMISSÃO 14 PROCEDENCIAS - JAQUELINE - TEODORO</t>
  </si>
  <si>
    <t>COMISSÃO 6 PROCEDENCIAS - AMANDA - IVINHEMA</t>
  </si>
  <si>
    <t>COMISSÃO 3 PROCEDENCIAS - VALÉRIA - VENCESLAU</t>
  </si>
  <si>
    <t>COMISSÃO 4 PROCEDENCIAS - PAMELA DIAS - PRIMAVERA</t>
  </si>
  <si>
    <t>COMISSÃO CORDENADORA - JAQUELINE - 25 AÇOES</t>
  </si>
  <si>
    <t>COMPRA 3 RPV - ALINE</t>
  </si>
  <si>
    <t>COMPRA 1 PRECATÓRIO - ALINE</t>
  </si>
  <si>
    <t>COMPRA 1 RPV - ANTHONY</t>
  </si>
  <si>
    <t>COMPRA 8 RPV - JONAS</t>
  </si>
  <si>
    <t>METADE - COMPRA 2 RPV - CLARA</t>
  </si>
  <si>
    <t>METADE - COMPRA 2 RPV - MICHELE</t>
  </si>
  <si>
    <t>INTEGRAÇÃO DE CAPITAL SOCIAL - SICREDI</t>
  </si>
  <si>
    <t>COMBUSTIVEL - PRIMAVERA</t>
  </si>
  <si>
    <t>GALOES DE AGUA - TEODORO</t>
  </si>
  <si>
    <t>COMBUSTIVEL - DEZEMBRO - PRIMAVERA</t>
  </si>
  <si>
    <t>ADMINISTRATIVO - CARLA - TAINA CRISTINA DA SILVA</t>
  </si>
  <si>
    <t>ADMINISTRATIVO - CARLA - JOÃO MIGUEL DE SOUZA SILVA</t>
  </si>
  <si>
    <t>ADMINISTRATIVO - CARLA - ANTONY MATTEO DE OLIVEIRA</t>
  </si>
  <si>
    <t>ADMINISTRATIVO - FABIANO - BELMIRO PEREIRA DA SILVA</t>
  </si>
  <si>
    <t>SALDO A MAIS EM CONTA</t>
  </si>
  <si>
    <t>ADIANTAMENTO DE ALVARÁ - MARIA REGINA RAMOS</t>
  </si>
  <si>
    <t>OAB - VENERA - 1/11</t>
  </si>
  <si>
    <t>ADIANTAMENTO DE ALVARÁ - ANA PAULA TAVARES</t>
  </si>
  <si>
    <t>COMISSÃO 5 AÇÕES - COORDENADOR - PAULO</t>
  </si>
  <si>
    <t>COMISSÃO 54 AÇÕES - COORDENADOR - MOTTA</t>
  </si>
  <si>
    <t>ADIANTAMENTO DE ALVARÁ - LUIZ ARMANDO HINDERSMANN PEREIRA</t>
  </si>
  <si>
    <t>OAB - CLAUDIO PR - 1/11</t>
  </si>
  <si>
    <t>OAB - ADENILSON - 1/11</t>
  </si>
  <si>
    <t>OAB - CLAUDIO SP - 1/9</t>
  </si>
  <si>
    <t>PARCELA 06/12 - EMPRESTIMO MOTTA</t>
  </si>
  <si>
    <t>REFEIÇÃO - ARIELLE E YOHANA - IVINHEMA</t>
  </si>
  <si>
    <t>ESTADIA - MATHEUS - LOANDA E QUERENCIA</t>
  </si>
  <si>
    <t>6 REFEIÇÕES - MATHEUS - LOANDA E QUERENCIA</t>
  </si>
  <si>
    <t>EXTINTORES - PRIMAVERA</t>
  </si>
  <si>
    <t>RESCISÃO CONTRATUAL - THAINAN MAIRA SOUZA RIBEIRO</t>
  </si>
  <si>
    <t>PATROCINIO - ALIMENTAÇÃO - RETIRO DE CARNAVAL</t>
  </si>
  <si>
    <t>4 AÇÕES DA SEMANA - FEVEREIRO - ALECIO</t>
  </si>
  <si>
    <t>1 ACAO DA SEMANA - FEVEREIRO - LEANDRO TR</t>
  </si>
  <si>
    <t>3 AÇÕES DA SEMANA - FEVEREIRO - LEANDRO SP</t>
  </si>
  <si>
    <t>3 AÇÕES DA SEMANA - FEVEREIRO - LEONARDO</t>
  </si>
  <si>
    <t>1 SAL. MATERNIDADE - FEVEREIRO - LEONARDO</t>
  </si>
  <si>
    <t>1 AÇÃO DA SEMANA - FEVEREIRO - ALEXSANDRO</t>
  </si>
  <si>
    <t>6 AÇÕES DA SEMANA - FEVEREIRO - CLAUDEIR</t>
  </si>
  <si>
    <t>COMBUSTIVEL - IVINHEMA</t>
  </si>
  <si>
    <t>PARCELA MOBI 16 - 33/48</t>
  </si>
  <si>
    <t>PARCELA MOBI 18 - 32/48</t>
  </si>
  <si>
    <t>PARCELA MOBI 17 - 32/48</t>
  </si>
  <si>
    <t>MATRICULA - AUXILIAR JURIDICO - MICHELE</t>
  </si>
  <si>
    <t>MATRICULA - AUXILIAR JURIDICO - GABRIELA</t>
  </si>
  <si>
    <t>MATRICULA - AUXILIAR JURIDICO - ALINE</t>
  </si>
  <si>
    <t>MATRICULA - AUXILIAR JURIDICO - MARIA ROSA</t>
  </si>
  <si>
    <t>FAXINA VENCESLAU</t>
  </si>
  <si>
    <t>CONFIGURAR E PARTILHAR PASTAS - MS</t>
  </si>
  <si>
    <t>ABASTECIMENTO - MOBI 019 - RODRIGO</t>
  </si>
  <si>
    <t>CONCERTO - MOBI 019</t>
  </si>
  <si>
    <t>COMPRA DE RPV - EDIVALDO APARECIDO DOS SANTOS</t>
  </si>
  <si>
    <t>DESPESAS DE CARTORIO - EDIVALDO APARECIDO DOS SANTOS</t>
  </si>
  <si>
    <t>17</t>
  </si>
  <si>
    <t>3 AÇÕES DA SEMANA - FEVEREIRO - CARLA</t>
  </si>
  <si>
    <t>2 AÇÕES DA SEMANA - FEVEREIRO - CLAUDEIR</t>
  </si>
  <si>
    <t>1 AÇÃO DA SEMANA - FEVEREIRO - LEANDRO SP</t>
  </si>
  <si>
    <t>1 AÇÃO DA SEMANA - FEVEREIRO - MARIA EPITACIO</t>
  </si>
  <si>
    <t>1 AÇÃO DA SEMANA - FEVEREIRO - MOTTA</t>
  </si>
  <si>
    <t>1 AÇÃO DA SEMANA - FEVEREIRO - ROSELI</t>
  </si>
  <si>
    <t>1 ACAO DA SEMANA - FEVEREIRO - LEANDRO PR</t>
  </si>
  <si>
    <t>PARCELA MOBI 019 - 21/48</t>
  </si>
  <si>
    <t>MULTA DE LITIGÂNCIA DE MÁ FÉ - CAROLINA AP. SANTOS MELLO</t>
  </si>
  <si>
    <t>OAB - PAMELA DIAS - 02/12</t>
  </si>
  <si>
    <t>OAB - JAQUELINE CAMPOS - 02/12</t>
  </si>
  <si>
    <t>OAB - PAULA FERNANDES - 02/12</t>
  </si>
  <si>
    <t>OAB - VALERIA MONTEIRO - 02/12</t>
  </si>
  <si>
    <t>SISTEMA DE MONITORAMENTO - CAC 9/9</t>
  </si>
  <si>
    <t>ANIVERSARIANTES DO MÊS - FEVEREIRO - TEODORO</t>
  </si>
  <si>
    <t>FAXINA TEODORO</t>
  </si>
  <si>
    <t>GUIA GRU - IVONE JESUS MIRANDA</t>
  </si>
  <si>
    <t>PEDÁGIO - LEANDRO SP</t>
  </si>
  <si>
    <t>ADMINISTRATIVO - CARLA -  TAINA CRISTINA DA SILVA</t>
  </si>
  <si>
    <t>ADMINISTRATIVO - FABIANO - MARTA FERREIRA S. NUNES</t>
  </si>
  <si>
    <t>ADMINISTRATIVO - FABIANO - TEREZA NUNES DE ALMEIDA</t>
  </si>
  <si>
    <t>ADMINISTRATIVO - ROSELI - ANA CRISTINA PEREIRA</t>
  </si>
  <si>
    <t>ADMINISTRATIVO - LEANDRO PR - RIVANILDA DANIEL DE FREITAS</t>
  </si>
  <si>
    <t>ADMINISTRATIVO - LEANDRO PR - MARTA DO N. GONÇALVES</t>
  </si>
  <si>
    <t>ADMINISTRATIVO - VICTOR MS - NEREU DA SILVA TELES</t>
  </si>
  <si>
    <t>MATERIAL DE ESCRITORIO - VENCESLAU</t>
  </si>
  <si>
    <t>ADMISSIONAL - JESSICA - CAMPO</t>
  </si>
  <si>
    <t>COMPRA DE RPV - SELMA DOS SANTOS</t>
  </si>
  <si>
    <t>DESPESAS DE CARTORIO - SELMA DOS SANTOS</t>
  </si>
  <si>
    <t>REFEIÇÃO - LUCAS E FABIANO - IVINHEMA</t>
  </si>
  <si>
    <t>CONCERTO PORTA IVINHEMA</t>
  </si>
  <si>
    <t>30 DIAS - FÉRIAS - FABIANO</t>
  </si>
  <si>
    <t>10 DIAS - FÉRIAS - CLAUDEIR</t>
  </si>
  <si>
    <t>30 DIAS - FÉRIAS - LEANDRO PR</t>
  </si>
  <si>
    <t>COMPRA DE RPV - JOSE CARLOS DA SILVA RAMOS</t>
  </si>
  <si>
    <t>DESPESAS DE CARTORIO - JOSE CARLOS DA SILVA RAMOS</t>
  </si>
  <si>
    <t>CONCERTO MOBI 011, 012 E 013</t>
  </si>
  <si>
    <t>SALDO A COMPLEMENTAR REFERENTE AO CARTORIO - SELMA DOS SANTOS</t>
  </si>
  <si>
    <t>8 AÇÕES DO MÊS - FEVEREIRO - ALINE</t>
  </si>
  <si>
    <t>BONIFICAÇÃO PARA 100 - ALINE</t>
  </si>
  <si>
    <t>1 AÇÃO DO MÊS - FEVEREIRO - PAMELA DIAS</t>
  </si>
  <si>
    <t>5 AÇÕES DO MÊS - FEVEREIRO - GABRIELA</t>
  </si>
  <si>
    <t>BONIFICAÇÃO PARA 100 - GABRIELA</t>
  </si>
  <si>
    <t xml:space="preserve">1 AÇÃO DO MÊS - EXTERNO - FEVEREIRO - FABIANO </t>
  </si>
  <si>
    <t>1 AÇÃO DO MÊS - EXTERNA - FEVEREIRO - JESSICA PR</t>
  </si>
  <si>
    <t>METADE 5 AÇÕES DO MÊS - MICHELE - FEVEREIRO</t>
  </si>
  <si>
    <t>METADE 3 AÇÕES DO MÊS -FEVEREIRO - MARIA ROSA</t>
  </si>
  <si>
    <t>METADE 3 AÇÕES DO MÊS -  FEVEREIRO - NYCOLLY</t>
  </si>
  <si>
    <t>METADE 5 AÇÕES DO MÊS - CLARA - FEVEREIRO</t>
  </si>
  <si>
    <t>METADE BONIFICAÇÃO PARA 100 - MICHELE</t>
  </si>
  <si>
    <t>METADE BONIFICAÇÃO PARA 100 - CLARA</t>
  </si>
  <si>
    <t>ADM/EXTERNO - PAMELA SHIMADA - RAFAEL SILVA GUIMARAES</t>
  </si>
  <si>
    <t>3 AÇÕES DA SEMANA - FEVEREIRO - ALECIO</t>
  </si>
  <si>
    <t>4 AÇÕES DA SEMANA - FEVEREIRO - CARLA</t>
  </si>
  <si>
    <t>3 AÇÕES DA SEMANA - FEVEREIRO - CLAUDEIR</t>
  </si>
  <si>
    <t>BONIFICAÇÃO PARA 200 - FEVEREIRO - CLAUDEIR</t>
  </si>
  <si>
    <t>BONIFICAÇÃO PARA 250 - FEVEREIRO - CLAUDEIR</t>
  </si>
  <si>
    <t>1 AÇÃO DA SEMANA - FEVEREIRO - LEANDRO PR</t>
  </si>
  <si>
    <t>5 AÇÕES DA SEMANA - FEVEREIRO - LEANDRO SP</t>
  </si>
  <si>
    <t>BONIFICAÇÃO PARA 200 - FEVEREIRO - LEANDRO SP</t>
  </si>
  <si>
    <t>BONIFICAÇÃO PARA 250 - FEVEREIRO - LEANDRO SP</t>
  </si>
  <si>
    <t>1 AÇÃO DA SEMANA - FEVEREIRO - MURILO</t>
  </si>
  <si>
    <t>3 AÇÕES DA SEMANA - FEVEREIRO - PAULO</t>
  </si>
  <si>
    <t>6 REFEIÇÕES - PAULO PR EM MS</t>
  </si>
  <si>
    <t xml:space="preserve">PLANO DE CELULARES - VIVO - PR </t>
  </si>
  <si>
    <t>01</t>
  </si>
  <si>
    <t>ALFA PAPELARIA - TEODORO</t>
  </si>
  <si>
    <t>VALE ALIMENTAÇÃO - RODRIGO</t>
  </si>
  <si>
    <t>REFEIÇÃO - JESSICA GIANNASI</t>
  </si>
  <si>
    <t>COMPRA DE RPV - NEUZA PEREIRA FLOR DOS SANTOS</t>
  </si>
  <si>
    <t>DESPESAS DE CARTORIO - NEUZA PEREIRA FLOR DOS SANTOS</t>
  </si>
  <si>
    <t>COMPRA DE RPV - LUANA GONÇALVES DA SILVA</t>
  </si>
  <si>
    <t>DESPESAS DE CARTORIO - LUANA GONÇALVES DA SILVA</t>
  </si>
  <si>
    <t>BALSA - JESSCA - CAMPO</t>
  </si>
  <si>
    <t>ABASTECIMENTO - REINALDO - IVINHEMA</t>
  </si>
  <si>
    <t>ADMINISTRATIVO - LEONARDO - ALESSANDRA RODRIGUES</t>
  </si>
  <si>
    <t>ADMINISTRATIVO - MURILO - LUIZ CARLOS DA SILVA</t>
  </si>
  <si>
    <t>ADMINISTRATIVO - PAULO - GILSON CLEMENTE</t>
  </si>
  <si>
    <t>ADMINISTRATIVO - PAULO - ADENILDE DOS SANTOS</t>
  </si>
  <si>
    <t>SEGURO MOBI 013 - 8/10</t>
  </si>
  <si>
    <t>GUIA DE GRU - CLEONICE APARECIDA DE ARAUJO SILVA</t>
  </si>
  <si>
    <t>GUIA DE GRU - IZAEL DOMINGOS DE SOUZA</t>
  </si>
  <si>
    <t>GUIA DE GRU - VALERIA PATRICIA RODRIGUES MATEUS</t>
  </si>
  <si>
    <t>VALOR RECEBIDO A MAIS - ROMANA FARIAS DE SOUZA</t>
  </si>
  <si>
    <t>TARIFA - CONTA DEVOLUÇÃO</t>
  </si>
  <si>
    <t>COPOS</t>
  </si>
  <si>
    <t>COMPRA DE RPV - CLAUDOMIRO BATISTA DE CARVALHO</t>
  </si>
  <si>
    <t>DESPESAS DE CARTORIO - CLAUDOMIRO BATISTA DE CARVALHO</t>
  </si>
  <si>
    <t>MANUTENÇÃO DO SITE</t>
  </si>
  <si>
    <t>GUIA DE GRU - SOLANGE BORGES DOS SANTOS SILVA</t>
  </si>
  <si>
    <t>PLANO DE CELULARES - VIVO - PR - FEVEREIRO</t>
  </si>
  <si>
    <t>GUIA DE GRU - CICERA APARECIDA DA SILVA</t>
  </si>
  <si>
    <t>PODAS DE ARVORES E GRAMA - TERRA RICA</t>
  </si>
  <si>
    <t>REFEIÇÕES - LEANDRO PR EM MS</t>
  </si>
  <si>
    <t>REFEIÇÕES - PAULO EM MS</t>
  </si>
  <si>
    <t>2 AÇÕES DA SEMANA - FEVEREIRO - ALECIO</t>
  </si>
  <si>
    <t>1 AÇÃO DA SEMANA - MARÇO - ALEXANDRO</t>
  </si>
  <si>
    <t>BONIFICAÇÃO PARA 200 - FEVEREIRO - CARLA</t>
  </si>
  <si>
    <t>BONIFICAÇÃO PARA 250 - FEVEREIRO - CARLA</t>
  </si>
  <si>
    <t>1 AÇÃO DA SEMANA - MARÇO - CARLA</t>
  </si>
  <si>
    <t>1 AÇÃO DA SEMANA - MARÇO - CLAUDEIR</t>
  </si>
  <si>
    <t>3 AÇÕES DA SEMANA - MARÇO - LEANDRO SP</t>
  </si>
  <si>
    <t>1 AÇÃO DA SEMANA - FEVEREIRO - LEONARDO</t>
  </si>
  <si>
    <t>3 AÇÕES DA SEMANA - FEVEREIRO - MATHEUS</t>
  </si>
  <si>
    <t>2 AÇÕES DA SEMANA - FEVEREIRO - MOTTA</t>
  </si>
  <si>
    <t>1 AÇÃO DA SEMANA - MARÇO - PAULO</t>
  </si>
  <si>
    <t>1 AÇÃO DA SEMANA - MARÇO - ROSELI</t>
  </si>
  <si>
    <t>2 AÇÕES DA SEMANA - FEVEREIRO - MURILO</t>
  </si>
  <si>
    <t>COMISSÃO 30 PROCEDENCIAS - VENERA - TERRA RICA</t>
  </si>
  <si>
    <t>COMISSÃO 9 PROCEDENCIAS - JAQUELINE - TEODORO</t>
  </si>
  <si>
    <t>COMISSÃO 6 PROCEDENCIAS - PAMELA DIAS - PRIMAVERA</t>
  </si>
  <si>
    <t>COMISSÃO 3 PROCEDENCIAS - PAULA - PRES. VENCESLAU</t>
  </si>
  <si>
    <t>COMISSÃO CORDENADORA - JAQUELINE - 45 AÇOES</t>
  </si>
  <si>
    <t>FAXINA TERRE RICA</t>
  </si>
  <si>
    <t>CAFÉ DE RECEPÇÃO - NETO - TERRA RICA</t>
  </si>
  <si>
    <t>IPTU - TERRA RICA - 1/7</t>
  </si>
  <si>
    <t>OAB - CLAUDIO SP - 2/9</t>
  </si>
  <si>
    <t>OAB - CLAUDIO PR - 2/11</t>
  </si>
  <si>
    <t>OAB - ADENILSON - 2/11</t>
  </si>
  <si>
    <t>OAB - VENERA - 2/11</t>
  </si>
  <si>
    <t>OAB - AMANDA MS - 1/10</t>
  </si>
  <si>
    <t>OAB - CLAUDIO MS - 1/10</t>
  </si>
  <si>
    <t>MENSALIDADE - AUXILIAR JURIDICO - MICHELE</t>
  </si>
  <si>
    <t>MENSALIDADE - AUXILIAR JURIDICO - GABRIELA</t>
  </si>
  <si>
    <t>MENSALIDADE - AUXILIAR JURIDICO - ALINE</t>
  </si>
  <si>
    <t>MENSALIDADE - AUXILIAR JURIDICO - MARIA ROSA</t>
  </si>
  <si>
    <t>MENSALIDADE - AUXILIAR JURIDICO - DANIELA</t>
  </si>
  <si>
    <t>RESCISÃO CONTRATUAL - RODRIGO GUIMARAES</t>
  </si>
  <si>
    <t>FGTS - RESCISÃO CONTRATUAL - RODRIGO GUIMARAES</t>
  </si>
  <si>
    <t>REFEIÇÃO - JONAS - PRECATORIO</t>
  </si>
  <si>
    <t>IMPRESSÃO - RECISÃO ROSELI</t>
  </si>
  <si>
    <t>COMPRA DE PRECATORIO - VALDEVINO JOSÉ DA SILVA</t>
  </si>
  <si>
    <t>RECONHECIMENTO DE FIRMA -  VALDEVINO JOSÉ DA SILVA</t>
  </si>
  <si>
    <t>CESTA BASICA - ALVARO</t>
  </si>
  <si>
    <t>IMPRESSAO CONTRATO - PRECATORIO - VALDEVINO JOSE</t>
  </si>
  <si>
    <t>SALDO A MENOS BB</t>
  </si>
  <si>
    <t>COMPRA 4 RPV - JONAS</t>
  </si>
  <si>
    <t>COMPRA 1 PRECATÓRIO - JONAS</t>
  </si>
  <si>
    <t>METADE - COMPRA 2 RPV - ALINE</t>
  </si>
  <si>
    <t>METADE - COMPRA 2 RPV - DANIELA</t>
  </si>
  <si>
    <t>METADE - COMPRA 1 RPV - MARIA ROSA</t>
  </si>
  <si>
    <t>METADE - COMPRA 1 RPV - NICOLY</t>
  </si>
  <si>
    <t>PARCELA 07/12 - EMPRESTIMO MOTTA</t>
  </si>
  <si>
    <t>COMISSÃO 6 AÇÕES - COORDENADOR - LEANDRO SP</t>
  </si>
  <si>
    <t>COMISSÃO 72 AÇÕES - COORDENADOR GERAL - MOTTA</t>
  </si>
  <si>
    <t>ADMINISTRATIVO - ALECIO - MARINEI RIBEIRO SORANA</t>
  </si>
  <si>
    <t>ADMINISTRATIVO - ALECIO - MARCOS DONIZETE FACCHIN</t>
  </si>
  <si>
    <t>ADMINISTRATIVO - PAULO - ANELITA NERI DOS SANTOS</t>
  </si>
  <si>
    <t>PALHETA - MOBI 015</t>
  </si>
  <si>
    <t>PALHETA - MOBI 01</t>
  </si>
  <si>
    <t>PEÇAS COMPUTADOR - IVINHEMA</t>
  </si>
  <si>
    <t>REFEIÇÃO - LUCAS E NETO - IVINHEMA</t>
  </si>
  <si>
    <t>PEDAGIO - LEONARDO</t>
  </si>
  <si>
    <t>CONCERTO - PORTA TEODORO</t>
  </si>
  <si>
    <t>CONCERTO - IMPRESSORA TEODORO</t>
  </si>
  <si>
    <t>PEN DRIVE - FORMATAÇÃO</t>
  </si>
  <si>
    <t>REFEIÇÃO - LUCAS E NETO - VENCESLAU E TEODORO</t>
  </si>
  <si>
    <t>2 AÇÕES DA SEMANA - ALEXSANDRO</t>
  </si>
  <si>
    <t>1 AÇAO DA SEMANA - CARLA</t>
  </si>
  <si>
    <t>1 SAL. MATERNIDADE - CARLA</t>
  </si>
  <si>
    <t>1 AÇAO DA SEMANA - LEANDRO PR</t>
  </si>
  <si>
    <t>4 AÇÕES DA SEMANA - LEANDRO SP</t>
  </si>
  <si>
    <t>3 AÇÕES DA SEMANA - LEONARDO</t>
  </si>
  <si>
    <t>2 AÇÕES DA SEMANA - MARIA EPITÁCIO</t>
  </si>
  <si>
    <t>ADMINISTRATIVO - LEONARDO - MARIA LUCIA DA SILVA FERREIRA</t>
  </si>
  <si>
    <t xml:space="preserve">FÉRIAS DE 15 DIAS - ANA MARIA </t>
  </si>
  <si>
    <t>COMPRA DE RPV - IZABEL CRISTINA DE PAULA EVARISTO</t>
  </si>
  <si>
    <t>DESPESAS DE CARTORIO - IZABEL CRISTINA DE PAULA EVARISTO</t>
  </si>
  <si>
    <t>COMPRA DE RPV - MARIA EDUARDA BARBOSA DOS SANTOS</t>
  </si>
  <si>
    <t>DESPESAS DE CARTORIO - MARIA EDUARDA BARBOSA DOS SANTOS</t>
  </si>
  <si>
    <t>2 AÇÕES DA SEMANA - MOTTA</t>
  </si>
  <si>
    <t>5 AÇÕES DA SEMANA - CLAUDEIR</t>
  </si>
  <si>
    <t>CORTINA - SALA 2 - TEODORO</t>
  </si>
  <si>
    <t>TROCA DE PNEU - ALINHAMENTO E BALANCEAMENTO - 017</t>
  </si>
  <si>
    <t>VARÃO PARA CORTINA - TEODORO</t>
  </si>
  <si>
    <t>IPTU - VENCESLAU - 1/10</t>
  </si>
  <si>
    <t>FORMATAÇÃO NOTEBOOK JURIDICO - CONF. IMPRESSORAS</t>
  </si>
  <si>
    <t>FGTS COMPETENCIA 02/2025</t>
  </si>
  <si>
    <t>PARCELA MOBI 019 - 22/48</t>
  </si>
  <si>
    <t>PARCELA MOBI 16 - 34/48</t>
  </si>
  <si>
    <t>PARCELA MOBI 18 - 33/48</t>
  </si>
  <si>
    <t>PARCELA MOBI 17 - 33/48</t>
  </si>
  <si>
    <t>TRAFEGO PAGO 2/3</t>
  </si>
  <si>
    <t>RESCISÃO CONTRATUAL - ROSELI ANAYA</t>
  </si>
  <si>
    <t>FGTS - RESCISÃO CONTRATUAL - ROSELI ANAYA</t>
  </si>
  <si>
    <t>ADMINISTRATIVO - CARLA - JUCELIA MASCARENHAS</t>
  </si>
  <si>
    <t>ADMINISTRATIVO - CARLA - ARTHUR DOS SANTOS  SOBRAL</t>
  </si>
  <si>
    <t>ADMINISTRATIVO - LEONARDO - JOSELI BARBOSA DE MACEDO</t>
  </si>
  <si>
    <t>ADMINISTRATIVO - ALEXSANDRO - LOURDES HELENA GERALDO</t>
  </si>
  <si>
    <t>FGTS - MENSAL - ROSELI</t>
  </si>
  <si>
    <t>CABO DE REDE - COMPUTADOR RAISSA</t>
  </si>
  <si>
    <t>RESTANTE DO ADMINISTRATIVO - CARLA ARTHUR</t>
  </si>
  <si>
    <t>REFEIÇÃO - JONAS - VENCESLAU</t>
  </si>
  <si>
    <t>SALDO ENCAMINHADO A MAIS EM CONTA</t>
  </si>
  <si>
    <t>COMPRA DE RPV - ALESSANDRA APARECIDA LEITE</t>
  </si>
  <si>
    <t>DESPESAS DE CARTORIO - ALESSANDRA APARECIDA LEITE</t>
  </si>
  <si>
    <t>COMPRA DE RPV - JOSE APARECIDO DA SILVA</t>
  </si>
  <si>
    <t>DESPESAS DE CARTORIO - JOSE APARECIDO DA SILVA</t>
  </si>
  <si>
    <t>COMPRA DE RPV - LORRAINE MAYUMI GOMES FARIAS</t>
  </si>
  <si>
    <t>DESPESAS DE CARTORIO - LORRAINE MAYUMI GOMES FARIAS</t>
  </si>
  <si>
    <t>COMPRA DE RPV - EDSON SOARES DA SILVA</t>
  </si>
  <si>
    <t>DESPESAS DE CARTORIO - EDSON SOARES DA SILVA</t>
  </si>
  <si>
    <t>COMPRA DE RPV - MAIARA APARECIDA DE MELO SILVA</t>
  </si>
  <si>
    <t>DESPESAS DE CARTORIO - MAIARA APARECIDA DE MELO SILVA</t>
  </si>
  <si>
    <t>GUIA GRU - MARIA SANTANA DE SOUZA</t>
  </si>
  <si>
    <t>GUIA GRU - ANTONIO MARQUES</t>
  </si>
  <si>
    <t>ADMINISTRATIVO - ALEXSANDRO - VALDEMIR DE LIMA</t>
  </si>
  <si>
    <t>RECONHECIMENTO DE FIRMA - VALDEVINO JOSÉ DA SILVA</t>
  </si>
  <si>
    <t>BALSA - JONAS - EUCLIDES DA CUNHA</t>
  </si>
  <si>
    <t xml:space="preserve">FÉRIAS DE 15 DIAS - DRA JAQUELINE </t>
  </si>
  <si>
    <t>ESTADIA - MATHEUS E MOTTA - LOANDA</t>
  </si>
  <si>
    <t>7 REFEIÇÕES - MATHEUS E MOTTA - LOANDA</t>
  </si>
  <si>
    <t>ABASTECIMENTO - MATHEUS E MOTTA - LOANDA</t>
  </si>
  <si>
    <t>ANIVERSARIANTES DO MÊS - MARÇO - TEODORO</t>
  </si>
  <si>
    <t>5 AÇÕES DA SEMANA - ALECIO</t>
  </si>
  <si>
    <t>3 AÇÕES DA SEMANA - CARLA</t>
  </si>
  <si>
    <t>BONIFICAÇÃO PARA 250 - CLAUDEIR</t>
  </si>
  <si>
    <t>1 AÇÃO DA SEMANA - JESSICA</t>
  </si>
  <si>
    <t>5 AÇÕES DA SEMANA - LEANDRO SP</t>
  </si>
  <si>
    <t>BONIFICAÇÃO PARA 200 - LEANDRO SP</t>
  </si>
  <si>
    <t>BONIFICAÇÃO PARA 250 - LEANDRO SP</t>
  </si>
  <si>
    <t>3 AÇÕES DA SEMANA - MARIA EPITACIO</t>
  </si>
  <si>
    <t>2 AÇÕES DA SEMANA - MATHEUS</t>
  </si>
  <si>
    <t>4 REFEIÇÕES - PAULO EM MS</t>
  </si>
  <si>
    <t>REFEIÇÃO - JONAS - EUCLIDES DA CUNHA PAULISTA</t>
  </si>
  <si>
    <t>OAB - JAQUELINE CAMPOS - 03/12</t>
  </si>
  <si>
    <t>OAB - PAMELA DIAS - 03/12</t>
  </si>
  <si>
    <t>OAB - VALERIA MONTEIRO - 03/12</t>
  </si>
  <si>
    <t>OAB - PAULA FERNANDA - 03/12</t>
  </si>
  <si>
    <t>CONCERTO - ENCANAMENTO - TEODORO</t>
  </si>
  <si>
    <t>OAB - JOAO RAFAEL - 01/08</t>
  </si>
  <si>
    <t>AÇUCAR - TERRA RICA</t>
  </si>
  <si>
    <t>COMPRA DE PRECATORIO - CELINA ANALIA DA GRAÇA</t>
  </si>
  <si>
    <t>RECONHECIMENTO DE FIRMA -  CELINA ANALIA DA GRAÇA</t>
  </si>
  <si>
    <t>ADMINISTRATIVO - LEONARDO - JOSE ADEMIR DOS SANTOS</t>
  </si>
  <si>
    <t>COMPRA DE RPV - ZILENE SALLES DOS SANTOS</t>
  </si>
  <si>
    <t>DESPESAS DE CARTORIO - ZILENE SALLES DOS SANTOS</t>
  </si>
  <si>
    <t>ATUALIZAÇÃO NA JUNTA COMERCIAL - CONTRATO SOCIAL</t>
  </si>
  <si>
    <t>AUTORIZAÇÃO NA JUNTA COMERCIAL - CONTRATO SOCIAL</t>
  </si>
  <si>
    <t>ADIANTAMENTO ADMINISTRATIVO - MOTTA</t>
  </si>
  <si>
    <t>CONCERTO PORTA DE VIDRO - IVINHEMA</t>
  </si>
  <si>
    <t>CONCERTOS LAMPADAS - MOBI</t>
  </si>
  <si>
    <t>GARRAFA DE CAFÉ E LAMPADAS - VENCESLAU</t>
  </si>
  <si>
    <t>COMPRA DE RPV - PAULO HENRIQUE NUNES DE LIMA</t>
  </si>
  <si>
    <t>DESPESAS DE CARTORIO - PAULO HENRIQUE NUNES DE LIMA</t>
  </si>
  <si>
    <t>BONIFICAÇÃO PARA 200 - ALECIO</t>
  </si>
  <si>
    <t>BONIFICAÇÃO PARA 250 - ALECIO</t>
  </si>
  <si>
    <t>4 AÇÕES DA SEMANA - ALEXSANDRO</t>
  </si>
  <si>
    <t>BONIFICAÇÃO PARA 200 - ALEXSANDRO</t>
  </si>
  <si>
    <t>4 AÇÕES DA SEMANA - CARLA</t>
  </si>
  <si>
    <t>SAL. MATERNIDADE - CARLA</t>
  </si>
  <si>
    <t>1 AÇÃO DA SEMANA - DAIANE</t>
  </si>
  <si>
    <t>5 AÇÕES DA SEMANA - JESSICA</t>
  </si>
  <si>
    <t>5 AÇÕES DA SEMANA - LEANDRO PR</t>
  </si>
  <si>
    <t>1 AÇÃO DA SEMANA - LEANDRO SP</t>
  </si>
  <si>
    <t xml:space="preserve">2 AÇÕES DA SEMANA - LEONARDO </t>
  </si>
  <si>
    <t>1 AÇÃO DA SEMANA - MURILO</t>
  </si>
  <si>
    <t>GUIA DE GRU - ROSA MARIA ORTOLAU</t>
  </si>
  <si>
    <t>ADMINISTRATIVO - MOTTA - WALDIR ROSSINI</t>
  </si>
  <si>
    <t>METADE 5 AÇÕES DO MÊS - MARÇO - MARIA ROSA</t>
  </si>
  <si>
    <t>METADE 5 AÇÕES DO MÊS - MARÇO - NYCOLLY</t>
  </si>
  <si>
    <t>METADE BONIFICAÇÃO PARA 100 - MARIA ROSA</t>
  </si>
  <si>
    <t>METADE BONIFICAÇÃO PARA 100 - NYCOLLY</t>
  </si>
  <si>
    <t>1 AÇÃO DO MÊS - MARÇO - PAMELA SHIMADA</t>
  </si>
  <si>
    <t>ADM/EXTERNO - PAMELA SHIMADA - EDIVALDO DOS SANTOS GUIMARAES</t>
  </si>
  <si>
    <t>2 AÇÕES DO MÊS - EXTERNO - MARÇO - RAYSSA</t>
  </si>
  <si>
    <t>ANIVERSARIANTES DO MÊS - MARÇO - TERRA RICA</t>
  </si>
  <si>
    <t>ADM/INTERNO - ALINE - MARIA JOSE RODRIGUES ROQUE</t>
  </si>
  <si>
    <t>6 AÇÕES DO MÊS - MARÇO - ALINE</t>
  </si>
  <si>
    <t>ADM/INTERNO - GABRIELA - OSVALDO BELLASCOSA FILHO</t>
  </si>
  <si>
    <t>METADE 4 AÇÕES DO MÊS - MARÇO - MICHELE</t>
  </si>
  <si>
    <t xml:space="preserve">METADE 4 AÇÕES DO MÊS - MARÇO - CLARA </t>
  </si>
  <si>
    <t>ADMINISTRATIVO - CARLA - PEDRO ANTONIO BUENO MOREIRA</t>
  </si>
  <si>
    <t>ADMINISTRATIVO - NEIDE MS - VITORIA MARIA DE ASSIS ALMEIDA</t>
  </si>
  <si>
    <t>1 AÇÃO DO MÊS - MARÇO - JESSICA PR</t>
  </si>
  <si>
    <t>ANIVERSARIANTES DO MÊS - MARÇO - VENCESLAU</t>
  </si>
  <si>
    <t>TPL PRODUTOS E EQUIPAMENTOS DE LIMPEZA</t>
  </si>
  <si>
    <t>02</t>
  </si>
  <si>
    <t>FÉRIAS JONA GONÇALVES</t>
  </si>
  <si>
    <t>MATERIAL DE LIMP</t>
  </si>
  <si>
    <t>SEGURO MOBI 013 - 9/10</t>
  </si>
  <si>
    <t>DR JOÃO MANOEL</t>
  </si>
  <si>
    <t>CHAVEIRO BARBOSA - CÓPIAS CHAVES TEODORO</t>
  </si>
  <si>
    <t xml:space="preserve">RM - SEGURANÇA TRAB - KARINA M FERNANDES MARTINEZ </t>
  </si>
  <si>
    <t xml:space="preserve">MANGUEIRA - TEODORO - MARIA </t>
  </si>
  <si>
    <t xml:space="preserve">CONSERTO PORTAL - ESCRITORIO IVINHEMA </t>
  </si>
  <si>
    <t>04</t>
  </si>
  <si>
    <t xml:space="preserve">FAXINA DO ESCRITORIO DE PRIMAVERA </t>
  </si>
  <si>
    <t>COMPRA MERCADO NIPPON</t>
  </si>
  <si>
    <t>SALDO A MAIS NA CONTA</t>
  </si>
  <si>
    <t>PLANO DE CELULAR TIM</t>
  </si>
  <si>
    <t xml:space="preserve">DESPESAS HOSP. ALMOÇO JOSE MOTTA </t>
  </si>
  <si>
    <t xml:space="preserve">02 AÇÕES DA SEMANA - MARÇO - CARLA </t>
  </si>
  <si>
    <t xml:space="preserve">04 AÇOES DA SEMANA - ABRIL - CLAUDEIR </t>
  </si>
  <si>
    <t>BONIFICAÇÃO PARA 200 - MARÇO - CARLA</t>
  </si>
  <si>
    <t>BONIFICAÇÃO PARA 250 - MARÇO - CARLA</t>
  </si>
  <si>
    <t>BONIFICAÇÃO PARA 200 - MARÇO - JESSICA</t>
  </si>
  <si>
    <t xml:space="preserve">04 AÇOES DA SEMANA - MARÇO - JESSICA </t>
  </si>
  <si>
    <t xml:space="preserve">BONIFICAÇÃO PARA 250 - MARÇO - JESSICA </t>
  </si>
  <si>
    <t>02 AÇÕES DA SEMANA - MARÇO - LEONARDO</t>
  </si>
  <si>
    <t>BONIFICAÇÃO PARA 200 - MARÇO LEONARDO</t>
  </si>
  <si>
    <t>03 AÇÕES DA SEMANA - MARÇO - MATHEUS</t>
  </si>
  <si>
    <t xml:space="preserve">02 AÇÕES DA SEMANA - MARÇO - MURILO </t>
  </si>
  <si>
    <t xml:space="preserve">DESPESAS ALMOÇO MOTTA E NETO - TEODORO </t>
  </si>
  <si>
    <t>ALMOÇO YOHANA/ ARIELE</t>
  </si>
  <si>
    <t>30</t>
  </si>
  <si>
    <t>ALVARA DE FUNIONAMENTO ( A ARAUJO )</t>
  </si>
  <si>
    <t xml:space="preserve">ALVARA DE FUNCIONAMENTO ( ADENILSON SOCIEDADE INDIVIDUAL) </t>
  </si>
  <si>
    <t xml:space="preserve">ALVARA DE FUNCIONAMENTO ( CLAUDIO SOCIEDADE INDIVIDUAL ) </t>
  </si>
  <si>
    <t>GRU - ( HEDA SANTANA PORTO )</t>
  </si>
  <si>
    <t>GRU - ( ANTONIO MARCOS DE SOUZA MARTELO )</t>
  </si>
  <si>
    <t>GRU - (JOSE VALDOMIRO DE ALMEIDA)</t>
  </si>
  <si>
    <t>COMPRA DE RPV -</t>
  </si>
  <si>
    <t>DESPESAS ALMOÇO LEANDRO MS  07 REFEIÇÕES</t>
  </si>
  <si>
    <t>RECONHECIMENTO FIRMA - ARIELLE (PREC )</t>
  </si>
  <si>
    <t>PEDAGIO - ARIELE VISITA A VENCESLAU</t>
  </si>
  <si>
    <t>AUTO POSTO APROMAN LTDA</t>
  </si>
  <si>
    <t>MOBI 17 - IPVA 4/5</t>
  </si>
  <si>
    <t>MOBI 01 - IPVA 4/5</t>
  </si>
  <si>
    <t>MOBI 13 - IPVA 4/5</t>
  </si>
  <si>
    <t>OAB - CLAUDIO MS - 2/10</t>
  </si>
  <si>
    <t>OAB - AMANDA MS - 2/10</t>
  </si>
  <si>
    <t>OAB - VENERA - 3/11</t>
  </si>
  <si>
    <t>OAB - ADENILSON - 3/11</t>
  </si>
  <si>
    <t>MOBI 19 - IPVA 4/5</t>
  </si>
  <si>
    <t>OAB - CLAUDIO PR - 3/11</t>
  </si>
  <si>
    <t>OAB - CLAUDIO SP - 3/9</t>
  </si>
  <si>
    <t xml:space="preserve">LIMPEZA E APLICAÇÃO DE VENENO - TEODORO GILBERTO DE SANTANA JUNIOR </t>
  </si>
  <si>
    <t>LIMPEZA ESCRITORIO TERRA RICA - TAMIRES</t>
  </si>
  <si>
    <t>COMPRA DE RPV - RAQUEL JOSEFA DE OLIVEIRA DOS SANTOS</t>
  </si>
  <si>
    <t xml:space="preserve">MATERIAL DE LIMPEZA - TEODORO - MARIA ROSA </t>
  </si>
  <si>
    <t xml:space="preserve">MATERIAL DE LIMPEZA - IVINHEMA - AMANDA </t>
  </si>
  <si>
    <t xml:space="preserve">RECONHECIMENTO DE FIRMA </t>
  </si>
  <si>
    <t>LIMPEZA DO ESCRITORIO TEODORO SAMPAIO</t>
  </si>
  <si>
    <t xml:space="preserve">SIM </t>
  </si>
  <si>
    <t>SEGURO MOBI 018 - 6/10</t>
  </si>
  <si>
    <t>LIBERAÇÃO PRECATÓRIO RAMIRO DA SILVA</t>
  </si>
  <si>
    <t xml:space="preserve">EMPRESTIMO MARIA ROSA </t>
  </si>
  <si>
    <t xml:space="preserve">LIBERAÇÃO PRECATÓRIO LUZIA </t>
  </si>
  <si>
    <t>LIMPEZA ESCRITORIO IVINHEMA - NAYARA MATOS</t>
  </si>
  <si>
    <t xml:space="preserve">ADMINISTRATIVO - CARLA - ISRAEL LOPES DOS SANTOS </t>
  </si>
  <si>
    <t>ADMINISTRATIVO - CARLA - CLAUDIA CRISTINA PARDINI</t>
  </si>
  <si>
    <t>ADMINISTRATIVO - FABIANO - ANTONIO CORREA MORAIS DA SILVA</t>
  </si>
  <si>
    <t>ADMINISTRATIVO - CLAUDEIR - APARECIDA DE FATIMA GREGORIO</t>
  </si>
  <si>
    <t>REFEIÇÃO - JOSE MOTTA -</t>
  </si>
  <si>
    <t>LIMPEZA ESCRITORIO VENCELAU - CLARA HELENA DOS ANJOS FERREIRA</t>
  </si>
  <si>
    <t xml:space="preserve">09 COMISSÕES PROCEDENTE - Dra VENERA </t>
  </si>
  <si>
    <t xml:space="preserve">09 COMISSÕES PROCEDENTE - Dra JAQUELINE </t>
  </si>
  <si>
    <t>04 COMISSÕES PROCEDENTE - Dra AMANDA</t>
  </si>
  <si>
    <t>02 COMISSÕES PROCEDENTE - Dra PAMELA</t>
  </si>
  <si>
    <t>04 COMISSÕES PROCEDENTE - Dra PAULA</t>
  </si>
  <si>
    <t>COMBUSTIVEL EUCLIDES DA CUNHA</t>
  </si>
  <si>
    <t xml:space="preserve">ADMINISTRATIVO - JOSE MOTTA - </t>
  </si>
  <si>
    <t xml:space="preserve">ALUGUEL - NARANDIBA - MARIA EMILIA </t>
  </si>
  <si>
    <t xml:space="preserve">02 COMISSÕES PROCEDENTE - Dra VALERIA </t>
  </si>
  <si>
    <t>COMPRA 7 RPV'S - ALINE</t>
  </si>
  <si>
    <t>COMPRA METADE 2 RPV - ANTHONY</t>
  </si>
  <si>
    <t>COMPRA METADE 2 RPV - RAFAEL</t>
  </si>
  <si>
    <t>COMPRA METADE 2 RPV - CLARA</t>
  </si>
  <si>
    <t>COMPRA 12 RPV'S - JONAS</t>
  </si>
  <si>
    <t>COMPRA 2 PRECATÓRIOS - JONAS</t>
  </si>
  <si>
    <t xml:space="preserve">COMPRA METADE 2 RPV - MARIA ROSA </t>
  </si>
  <si>
    <t>COMPRA METADE 2 RPV - MICHELI</t>
  </si>
  <si>
    <t>COMPRA METADE 2 RPV - NYCOLLY</t>
  </si>
  <si>
    <t xml:space="preserve">LIMPEZA DO ESCRITORIO PRIMAVERA </t>
  </si>
  <si>
    <t>COMBUSTIVEL DE VENCESLAU</t>
  </si>
  <si>
    <t xml:space="preserve">COMPRA DE AGUA MINERAL ( VENCESLAU) </t>
  </si>
  <si>
    <t>CONTA AGUA - VENCESLAU</t>
  </si>
  <si>
    <t xml:space="preserve">EXAME PERIODICO - GABRIELA - IVINHEMA </t>
  </si>
  <si>
    <t>EXAME PERIODICO - CARLA E PAMELA - TEODORO</t>
  </si>
  <si>
    <t>COMPRA DE RPV - IVANILDA DE JESUS MENDONÇA</t>
  </si>
  <si>
    <t>COMPRA DE RPV - INALDO ALVES DA SILVA</t>
  </si>
  <si>
    <t xml:space="preserve">LUMINARIAS DO ESCRITORIO DE TERRA RICA </t>
  </si>
  <si>
    <t>PRODUTOS DE LIMPEZA - ESCRITORIO VENCESLAU</t>
  </si>
  <si>
    <t>PLANO CELULAR TIM</t>
  </si>
  <si>
    <t xml:space="preserve">COMPRA DE AGUA MINERAL ( TEODORO ) </t>
  </si>
  <si>
    <t>DIFERENÇA DE COMBUSTIVEL - ALEXSANDRO</t>
  </si>
  <si>
    <t>DIFERENÇA DE COMBUSTIVEL - LEONARDO</t>
  </si>
  <si>
    <t xml:space="preserve">DIFERENÇA DE COMBUSTIVEL - JESSICA </t>
  </si>
  <si>
    <t>VIGIA NOTURNO FENIX SERVIÇOS DE SEGURANÇA ESCRITORIO TERRA RICA</t>
  </si>
  <si>
    <t xml:space="preserve">SISTEMA DE MONITORAMENTO DO CAC </t>
  </si>
  <si>
    <t xml:space="preserve">COMISSÃO COORDENADOR - 104 AÇÕES MOTTA </t>
  </si>
  <si>
    <t>COMISSÃO COORDENADOR - 97 AÇÕES PAULO</t>
  </si>
  <si>
    <t>COMISSÃO COORDENADOR - 10 AÇÕES LEANDRO</t>
  </si>
  <si>
    <t>1 AÇÃO DA SEMANA - ABRIL- ALEXANDRO</t>
  </si>
  <si>
    <t xml:space="preserve">1 AÇÃO DA SEMANA -ABRIL - CARLA - MATERNIDADE </t>
  </si>
  <si>
    <t>1 AÇÃO DA SEMANA- ABRIL- ALECIO</t>
  </si>
  <si>
    <t>3 AÇÕES  DA SEMANA - ABRIL - CLAUDEIR</t>
  </si>
  <si>
    <t>3 AÇÕES DA SEMANA - ABRIL - LEANDRO PR</t>
  </si>
  <si>
    <t>6 AÇÕES DA SEMANA - ABRIL - LEANDRO SP</t>
  </si>
  <si>
    <t>1 AÇÃO DA SEMANA - ABRIL - LEONARDO</t>
  </si>
  <si>
    <t>1 AÇÃO DA SEMANA - ABRIL - MOTTA</t>
  </si>
  <si>
    <t>MATERIAL PARA ESCRITORIO TERRA RICA (DISTRIBUIDORA UNIAO)</t>
  </si>
  <si>
    <t>PARCELA MOBI 17 - 34/48</t>
  </si>
  <si>
    <t>TRAFECO PAGO - DESPESAS FACEBOOK -3/3</t>
  </si>
  <si>
    <t xml:space="preserve">MOURA LEAL LTDA - PAPELARIA - SULFITE </t>
  </si>
  <si>
    <t>AGUA - PRIMAVERA - ESCRITORIO NOVO</t>
  </si>
  <si>
    <t>PARCELA MOBI 18 - 34/48</t>
  </si>
  <si>
    <t>PARCELA MOBI 16 - 35/48</t>
  </si>
  <si>
    <t xml:space="preserve">  </t>
  </si>
  <si>
    <t>IPTU - VENCESLAU - 2/10</t>
  </si>
  <si>
    <t>IPTU - TERRA RICA - 2/7</t>
  </si>
  <si>
    <t>MOBI 14 - IPVA  - 4/5</t>
  </si>
  <si>
    <t>MOBI 02 - IPVA - 4/5</t>
  </si>
  <si>
    <t>MOBI - 09 - IPVA - 4/5</t>
  </si>
  <si>
    <t xml:space="preserve">ABASTECIMENTO - JESSICA </t>
  </si>
  <si>
    <t>ISS - TEODORO SAMPAIO</t>
  </si>
  <si>
    <t>IPTU - TEODORO SAMPAIO</t>
  </si>
  <si>
    <t>IR - ADENILSON</t>
  </si>
  <si>
    <t>IR - CLAUDIO</t>
  </si>
  <si>
    <t>CONTA ENERGIA - VENCESLAU</t>
  </si>
  <si>
    <t>TCV - INTERNET - VENCESLAU</t>
  </si>
  <si>
    <t>LIMPEZA DO ESCRITORIO DE IVINHEMA</t>
  </si>
  <si>
    <t>ADMINISTRATIVO - CARLA - GRAZIELY DE PAULA</t>
  </si>
  <si>
    <t>ADMINISTRATIVO - CARLA - ERICK LUAN RIBEIRO SOARES</t>
  </si>
  <si>
    <t>ADMINISTRATIVO - CARLA - GABRIEL H DOS SANTOS AGUIAR</t>
  </si>
  <si>
    <t>ADMINISTRATIVO - LEONARDO - MARIA JOB DE ABREU</t>
  </si>
  <si>
    <t xml:space="preserve">LIMPEZA - ESCRITORIO - PRIMAVERA </t>
  </si>
  <si>
    <t xml:space="preserve">COMPRA DE RPV - ERICA DA SILVA CORREIA </t>
  </si>
  <si>
    <t xml:space="preserve">LIMPEZA - ESCRITORIO - TEODORO </t>
  </si>
  <si>
    <t>TARIFAS</t>
  </si>
  <si>
    <t xml:space="preserve">INSTALAÇÃO AR CONDICIONADO/FIAÇÃO ELÉTRICA ESC IVINHEMA </t>
  </si>
  <si>
    <t>MONTAGEM DE MESA - ESCRITORIO DE IVINHEMA</t>
  </si>
  <si>
    <t>TRAFEGO PAGO FACEBOOK</t>
  </si>
  <si>
    <t xml:space="preserve">RECIBO DE FÉRIAS - Dra VENERA </t>
  </si>
  <si>
    <t>RECIBO DE FÉRIAS - MATHEUS CARNEVALLI</t>
  </si>
  <si>
    <t xml:space="preserve">TELEFONE FIXO - ESC TERRA RICA </t>
  </si>
  <si>
    <t xml:space="preserve">PERIODICO VALERIA </t>
  </si>
  <si>
    <t xml:space="preserve">ADIANTAMENTO SALARIAL LEANDRO RODRIGUES </t>
  </si>
  <si>
    <t xml:space="preserve">01 AÇÃO SEMANA - ABRIL - ALECIO </t>
  </si>
  <si>
    <t>03 AÇÃO SEMANA - ABRIL - ALEXSANDRO</t>
  </si>
  <si>
    <t>03 AÇÃO SEMANA - ABRIL - CARLA</t>
  </si>
  <si>
    <t xml:space="preserve">03 AÇÃO SEMANA - ABRIL - CLAUDEIR </t>
  </si>
  <si>
    <t xml:space="preserve">02 AÇÃO SEMANA - ABRIL - JESSICA </t>
  </si>
  <si>
    <t>02 AÇÃO SEMANA - ABRIL - LEANDRO THOMAZ</t>
  </si>
  <si>
    <t>01 AÇÃO SEMANA - ABRIL - LEONARDO</t>
  </si>
  <si>
    <t>01 AÇÃO SEMANA - ABRIL - JOSE MOTTA</t>
  </si>
  <si>
    <t xml:space="preserve">PENSÃO FILHO MATHEUS  - FÉRIAS </t>
  </si>
  <si>
    <t xml:space="preserve">BONIFICAÇÃO 10 AÇÕES - CLAUDEIR </t>
  </si>
  <si>
    <t xml:space="preserve">DESPESAS 4 REFEIÇÕES LEANDRO MS </t>
  </si>
  <si>
    <t>DESPESAS 7 REFEIÇÕES PAULO MS</t>
  </si>
  <si>
    <t>OAB - JAQUELINE CAMPOS - 04/12</t>
  </si>
  <si>
    <t>SEGURO MOBI 19</t>
  </si>
  <si>
    <t>OAB - PAULA FERNANDA - 04/12</t>
  </si>
  <si>
    <t>OAB - VALERIA MONTEIRO - 04/12</t>
  </si>
  <si>
    <t>OAB - PAMELA DIAS - 04/12</t>
  </si>
  <si>
    <t>OAB - JOÃO RAFAEL - 02/08</t>
  </si>
  <si>
    <t xml:space="preserve">ADMINISTRATIVO - ALEXSANDRO - NEIDIR </t>
  </si>
  <si>
    <t xml:space="preserve">ADMINISTRATIVO - PAULO - ROSELI PEREIRA DIAS </t>
  </si>
  <si>
    <t xml:space="preserve">ADMINISTRATIVO - PAULO - ADENILDA GORRAO DOS SANTOS </t>
  </si>
  <si>
    <t xml:space="preserve">ADMINISTRATIVO - PAULO - MARTA DA SILVA GONÇALVES </t>
  </si>
  <si>
    <t>ADMINISTRATIVO - PAULO - MARLENE BARROS DA SILVA</t>
  </si>
  <si>
    <t>ADMINISTRATIVO - NEIDE - EMILY CAROLINY ALVES LOPES</t>
  </si>
  <si>
    <t>TARIFAS - FOLHA DE PAGAMENTO</t>
  </si>
  <si>
    <t>LIMPEZA DO ESCRITÓRIO DE VENCESLAU</t>
  </si>
  <si>
    <t>REFEIÇÃO FABIANO ALVARA LOANDA</t>
  </si>
  <si>
    <t xml:space="preserve">LIMPEZA DO ESCRITORIO DE PRIMAVERA </t>
  </si>
  <si>
    <t xml:space="preserve">LIMPEZA DO ESCRITORIO DE TEODORO </t>
  </si>
  <si>
    <t>FGTS COMPETENCIA 03/2025 (SICREDI)</t>
  </si>
  <si>
    <t>INSS COMPETENCIA 03/2025 (SICREDI)</t>
  </si>
  <si>
    <t>ISS - ARAUJO PREV (SICREDI)</t>
  </si>
  <si>
    <t xml:space="preserve">DONA ZINHA - EGILDO DE ARAUJO VIEIRA </t>
  </si>
  <si>
    <t xml:space="preserve">ALOJAMENTO DE SITE </t>
  </si>
  <si>
    <t>COMBUSTIVEL JESSICA</t>
  </si>
  <si>
    <t>COMPRA DE CADEADO - ESCRITORIO DE IVINHEMA</t>
  </si>
  <si>
    <t xml:space="preserve">01 AÇÃO DA SEMANA - ABRIL - CARLA </t>
  </si>
  <si>
    <t>01 AÇÃO DA SEMANA - ABRIL - CLAUDEIR</t>
  </si>
  <si>
    <t xml:space="preserve">BONIFICAÇÃO PARA 200 SEMANA DE ABRIL - CLAUDEIR </t>
  </si>
  <si>
    <t>02 AÇÃO DA SEMANA DE ABRIL - LEANDRO RODRIGUES</t>
  </si>
  <si>
    <t>01 AÇÃO DA SEMANA DE ABRIL - LEANDRO THOMAZ</t>
  </si>
  <si>
    <t>BONIFICAÇÃO PARA 200 SEMANA DE ABRIL - LEANDRO THOMAZ</t>
  </si>
  <si>
    <t>BONIFICAÇÃO PARA 250 SEMANA DE ABRIL - LEANDRO THOMAZ</t>
  </si>
  <si>
    <t>01 AÇÃO DA SEMANA DE ABRIL - LEANDRO THOMAZ - DEVOLUTIVA</t>
  </si>
  <si>
    <t xml:space="preserve">04 ACAO DA SEMANA DE ABRIL - 1 SALARIO MATERNIDADE -  MURILO </t>
  </si>
  <si>
    <t xml:space="preserve">SALDO A MAIS NA CONTA </t>
  </si>
  <si>
    <t>04 REFEIÇOES - PAULO MS</t>
  </si>
  <si>
    <t>PARCELA MOBI 019 - 23/48</t>
  </si>
  <si>
    <t xml:space="preserve">CAFÉ DE BOAS VINDAS CARLA </t>
  </si>
  <si>
    <t>CONSERTO - CÓPIAS DE CHAVES - ESC VENCESLAU</t>
  </si>
  <si>
    <t>DONA ZINHA - MARIANA GASPAR DA SILVA</t>
  </si>
  <si>
    <t>LIMPEZA DO ESCRITORIO DE TERRA RICA</t>
  </si>
  <si>
    <t>ALMOÇO LUCAS PRIMAVEIRA</t>
  </si>
  <si>
    <t>LIMPEZA DO ESCRITORIO DE VENCESLAU</t>
  </si>
  <si>
    <t xml:space="preserve">ANIVERSARIANTES DO MÊS - ABRIL - VENCESLAU </t>
  </si>
  <si>
    <t xml:space="preserve">4 REFEIÇÕES JOSE MOTA </t>
  </si>
  <si>
    <t>JOGO DE PALHETAS - MOBI 19</t>
  </si>
  <si>
    <t>EMPRESTIMO - ALECIO CEREGATI</t>
  </si>
  <si>
    <t>05 REFEIÇÕES CLAUDEIR</t>
  </si>
  <si>
    <t>01 REFEIÇÃO CLAUDEIR</t>
  </si>
  <si>
    <t>27</t>
  </si>
  <si>
    <t>PLANO DE CELULAR - VIVO</t>
  </si>
  <si>
    <t xml:space="preserve">RECIBO DE FÉRIAS AMANDA </t>
  </si>
  <si>
    <t xml:space="preserve">FOLHAS DE PAGAMENTO </t>
  </si>
  <si>
    <t xml:space="preserve">04 AÇÕES DA SEMANA DE ABRIL - CARLA </t>
  </si>
  <si>
    <t>02 AÇÕES DA SEMANA DE ABRIL - LEANDRO RODRIGUES</t>
  </si>
  <si>
    <t xml:space="preserve">01 AÇÃO DA SEMANA DE ABRIL - LEANDRO THOMAZ - </t>
  </si>
  <si>
    <t>02 AÇÕES DA SEMANA DE ABRIL - LEONARDO</t>
  </si>
  <si>
    <t>01 AÇÃO DA SEMANA DE ABRIL - MARIA EPITACIO</t>
  </si>
  <si>
    <t>05 AÇÕES DA SEMANA DE ABRIL - MURILO</t>
  </si>
  <si>
    <t>08 AÇÕES ALINE ESCRITORIO TERRA RICA</t>
  </si>
  <si>
    <t>02 AÇÕES AMANDA ESCRITORIO IVINHEMA</t>
  </si>
  <si>
    <t xml:space="preserve"> 03 AÇÕES EXTERNAS FABIANO</t>
  </si>
  <si>
    <t xml:space="preserve"> 02 AÇÕES GABRIELA - ESCRITÓRIO IVINHEMA</t>
  </si>
  <si>
    <t xml:space="preserve">METADE DE 2 AÇÕES MARIA ROSA </t>
  </si>
  <si>
    <t>METADE DE 2 AÇÕES NYCOLLY</t>
  </si>
  <si>
    <t>METADE ADM EXTERNO NYCOLLY - MARIA ODETE</t>
  </si>
  <si>
    <t xml:space="preserve">METADE ADM EXTERNO MARIA ROSA - MARIA ODETE </t>
  </si>
  <si>
    <t>METADE DE 4 AÇÕES CLARA</t>
  </si>
  <si>
    <t>METADE DE 4 AÇÕES MICHELI</t>
  </si>
  <si>
    <t>01 AÇÃO RAYSSA - ESCRITORIO TEODORO</t>
  </si>
  <si>
    <t>01 ADM RAYSSA - MARIA DE LOURDES CARDOSO</t>
  </si>
  <si>
    <t>07 REFEIÇÕES LEANDRO MS</t>
  </si>
  <si>
    <t xml:space="preserve">01 AÇÕES JOÃO - PRIMAVERA </t>
  </si>
  <si>
    <t>30/04/2026.</t>
  </si>
  <si>
    <t xml:space="preserve">ESCRITÓRIO XAVANTES - ADENILSON </t>
  </si>
  <si>
    <t>ESCRITÓRIO XAVANTES - CLAÚDIO</t>
  </si>
  <si>
    <t>INTERNET - ESCRITORIO DE TERRA RICA</t>
  </si>
  <si>
    <t>R R MARTINEZ SEGURANÇA DO TRABALHO E PSICOSOCIAL</t>
  </si>
  <si>
    <t>TERRA FM COMUNICAÇÃO</t>
  </si>
  <si>
    <t xml:space="preserve">PERIODICO - BOLETO KARINA MOLINA </t>
  </si>
  <si>
    <t>LIMPEZA DO ESCRITORIO - TEODORO</t>
  </si>
  <si>
    <t>LIMPEZA DO ESCRITORIO - TERRA RICA</t>
  </si>
  <si>
    <t>LIMPEZA DO ESCRITORIO - VENCESLAU</t>
  </si>
  <si>
    <t>LIMPEZA DO ESCRITORIO - IVINHEMA</t>
  </si>
  <si>
    <t>BATERIA MOBI 01</t>
  </si>
  <si>
    <t>SEGURO MOBI 013 - 10/10</t>
  </si>
  <si>
    <t xml:space="preserve">PLANO CELULAR - SEBASTIAO SENA - ABRIL </t>
  </si>
  <si>
    <t>PLANO CELULAR - SEBASTIAO SENA - MAIO</t>
  </si>
  <si>
    <t>04 REFEIÇOES - CARLA</t>
  </si>
  <si>
    <t xml:space="preserve">BETTY BOOP - DESPESAS DE TI (ESCRITORIO TERRA RICA) </t>
  </si>
  <si>
    <t>INTERNET - ESCRITORIO DE TEODORO</t>
  </si>
  <si>
    <t>COMPRA DE RPV - LAZARA MARIA DA SILVA ALBUQUERQUE</t>
  </si>
  <si>
    <t>COMPRA DE RPV - SALVADOR ELOIR SOUZA DE JESUS</t>
  </si>
  <si>
    <t xml:space="preserve">COMBUSTIVEL VENCESLAU - CURSO </t>
  </si>
  <si>
    <t>REFEIÇÃO - PAULA - CURSO</t>
  </si>
  <si>
    <t>COMBUSTIVEL TEODORO - CURSO</t>
  </si>
  <si>
    <t>REFEIÇÃO - PAMELA - CURSO</t>
  </si>
  <si>
    <t xml:space="preserve">ADMINISTRATIVO - CARLA - DIVAN </t>
  </si>
  <si>
    <t xml:space="preserve">REFEIÇÃO - RAYSSA - CURSO </t>
  </si>
  <si>
    <t xml:space="preserve">REFEIÇÃO - JAQUELINE - CURSO </t>
  </si>
  <si>
    <t xml:space="preserve">REFEIÇÃO - VALERIA - CURSO </t>
  </si>
  <si>
    <t>PAGAMENTO PARABRISA MOBI</t>
  </si>
  <si>
    <t>09 + 2 COMISSÕES PROCEDENTE - Dra VENERA (DIVIDIDA COM DR JOÃO)</t>
  </si>
  <si>
    <t>05 COMISSÕES PROCEDENTE - Dra AMANDA</t>
  </si>
  <si>
    <t>1 + 2 COMISSÕES PROCEDENTE - Dra VALERIA (DIV  JAQUELINE E PAMELA DIAS)</t>
  </si>
  <si>
    <t>02 + 1  COMISSÕES PROCEDENTE - Dra PAMELA DIAS (DIV COM VALERIA)</t>
  </si>
  <si>
    <t>06 COMISSÕES PROCEDENTE - Dra PAULA</t>
  </si>
  <si>
    <t>4 REFEIÇÕES LEANDRO MS</t>
  </si>
  <si>
    <t>02 COMISSÕES PROCEDENTE DR JOAO (DIVIDIDO COM A VENERA)</t>
  </si>
  <si>
    <t>GRATIFICAÇÕES - Dra JAQUELINE (DIVIDIDA COM A VALERIA)</t>
  </si>
  <si>
    <t>COMISSÃO COORDENADORA - Dra JAQUELINE - 30 AÇOES</t>
  </si>
  <si>
    <t>LIMPEZA DO AR CONDICIONADO ESCRITORIO DE IVINHEMA</t>
  </si>
  <si>
    <t xml:space="preserve">02 REFEIÇÕES JOSE MOTTA </t>
  </si>
  <si>
    <t xml:space="preserve">TRAFECO PAGO - DESPESAS FACEBOOK </t>
  </si>
  <si>
    <t xml:space="preserve">PAGAMENTO DE AGUA - TEODORO </t>
  </si>
  <si>
    <t>TELEFONE DE TEODORO</t>
  </si>
  <si>
    <t xml:space="preserve">CHIP VIVO </t>
  </si>
  <si>
    <t xml:space="preserve">01 AÇÃO - MAIO - ALEXSANDRO </t>
  </si>
  <si>
    <t>02 AÇÃO - ABRIL  - CARLA</t>
  </si>
  <si>
    <t>01 AÇÃO - MAIO - CARLA</t>
  </si>
  <si>
    <t>08 AÇÕES - MAIO - CLAUDEIR</t>
  </si>
  <si>
    <t>04 AÇÕES - ABRIL - JESSICA</t>
  </si>
  <si>
    <t>01 AÇÃO - ABRIL - LEANDRO THOMAZ</t>
  </si>
  <si>
    <t>01 AÇÃO - ABRIL - LEANDRO RODRIGUES</t>
  </si>
  <si>
    <t xml:space="preserve">03 AÇÕES - MAIO - LEANDRO THOMAZ </t>
  </si>
  <si>
    <t xml:space="preserve">01 AÇÃO - ABRIL - LEONARDO </t>
  </si>
  <si>
    <t>03 AÇÕES - MAIO - LEONARDO</t>
  </si>
  <si>
    <t>01 AÇÃO - MAIO - MARIA DE EPITACIO</t>
  </si>
  <si>
    <t>03 AÇÃO - ABRIL - MOTTA</t>
  </si>
  <si>
    <t>02 AÇÕES - ABRIL - MURILO</t>
  </si>
  <si>
    <t>01 AÇÃO - MAIO - MURILO</t>
  </si>
  <si>
    <t>COMPRA METADE RPV - NYCOLY</t>
  </si>
  <si>
    <t xml:space="preserve">COMPRA METADE RPV - MARIA ROSA </t>
  </si>
  <si>
    <t>COMPRA 03 RPV - JONAS</t>
  </si>
  <si>
    <t>COMPRA RPV - GABRIELA</t>
  </si>
  <si>
    <t xml:space="preserve">COMPRA RPV - ALINE </t>
  </si>
  <si>
    <t xml:space="preserve">COMISSÃO COORDENADOR - MOTTA 69 AÇÕES </t>
  </si>
  <si>
    <t>PARCELA 08/12 - EMPRESTIMO MOTTA</t>
  </si>
  <si>
    <t>COMISSÃO COORDENADOR - PAULO 69 AÇÕES</t>
  </si>
  <si>
    <t>COMISSÃO COORDENADOR - LEANDRO THOMAS 5 AÇÕES</t>
  </si>
  <si>
    <t>COMISSÃO COORDENADORA - CARLA 07 AÇÕES</t>
  </si>
  <si>
    <t>BONIFICAÇÃO 1 10 AÇÕES - CARLA</t>
  </si>
  <si>
    <t>BONIFICAÇÃO 2 11 AÇÕES - CARLA</t>
  </si>
  <si>
    <t>MOBI 19 - IPVA 5/5</t>
  </si>
  <si>
    <t>MOBI 17 - IPVA 5/05</t>
  </si>
  <si>
    <t>11</t>
  </si>
  <si>
    <t>MOBI 01 - IPVA 5/5</t>
  </si>
  <si>
    <t>MOBI 16 - IPVA 5/5</t>
  </si>
  <si>
    <t>MOBI 13 - IPVA 5/5</t>
  </si>
  <si>
    <t>MOBI 09 - IPVA 5/5</t>
  </si>
  <si>
    <t xml:space="preserve">TAXA DE FISCALIZAÇÃO - ESCRITORIO DE ROSANA </t>
  </si>
  <si>
    <t>IPTU  - IVINHEMA 1/8</t>
  </si>
  <si>
    <t xml:space="preserve">INTERNET - IVINHEMA </t>
  </si>
  <si>
    <t xml:space="preserve">COMBUSTIVEL VENCESLAU </t>
  </si>
  <si>
    <t>MENSALIDADE - AUXILIAR JURIDICO - MICHELE*</t>
  </si>
  <si>
    <t>MENSALIDADE - AUXILIAR JURIDICO - DANIELA*</t>
  </si>
  <si>
    <t>MENSALIDADE - AUXILIAR JURIDICO - ALINE*</t>
  </si>
  <si>
    <t>MENSALIDADE - AUXILIAR JURIDICO - MARIA ROSA*</t>
  </si>
  <si>
    <t xml:space="preserve">ENERGIA - ESCRITORIO DE PRIMAVERA </t>
  </si>
  <si>
    <t>MENSALIDADE - AUXILIAR JURIDICO - GABRIELA*</t>
  </si>
  <si>
    <t>IPTU - TERRA RICA - 3/7</t>
  </si>
  <si>
    <t>IPTU - VENCESLAU - 3/10</t>
  </si>
  <si>
    <t>OAB - AMANDA MS - 3/10</t>
  </si>
  <si>
    <t>OAB - CLAUDIO MS - 3/10</t>
  </si>
  <si>
    <t>OAB - CLAUDIO SP - 4/9</t>
  </si>
  <si>
    <t>OAB - CLAUDIO PR - 4/11</t>
  </si>
  <si>
    <t>OAB - ADENILSON - 4/11</t>
  </si>
  <si>
    <t>OAB - VENERA - 4/11</t>
  </si>
  <si>
    <t>ENERGIA - ESCRITORIO DE TEODORO</t>
  </si>
  <si>
    <t>AGUA ESCRITORIO DE PRIMAVERA</t>
  </si>
  <si>
    <t xml:space="preserve">TELEFONE DE PRIMAVERA </t>
  </si>
  <si>
    <t>COMBUSTIVEL - CARLA</t>
  </si>
  <si>
    <t xml:space="preserve">DIFERENÇA DE COMBUSTIVEL - CARLA </t>
  </si>
  <si>
    <t>DIFERENÇA DE COMBUSTIVEL - LEANDRO  SP (OBS - BATERIA)</t>
  </si>
  <si>
    <t>DIFERENCA DE COMBUSTIVEL - PAULO</t>
  </si>
  <si>
    <t>ISS - ESCRITORIO DE PRIMAVERA 1/4</t>
  </si>
  <si>
    <t>ISS - ESCRITORIO TEODORO  2/5</t>
  </si>
  <si>
    <t xml:space="preserve">ALMOÇO YOHANA - VISITA AO ESCRITORIO DE IVINHEMA </t>
  </si>
  <si>
    <t>IPTU - TEODORO SAMPAIO 2/4</t>
  </si>
  <si>
    <t>PARCELA MOBI 16 - 36/48</t>
  </si>
  <si>
    <t xml:space="preserve">DIARIAS HOTEL - JOSE MOTTA - VENCESLAU </t>
  </si>
  <si>
    <t xml:space="preserve">01 AÇÃO - ABRIL - RAYSSA </t>
  </si>
  <si>
    <t xml:space="preserve">LIMPEZA ESCRITORIO TEODORO - VISLAINE </t>
  </si>
  <si>
    <t>LIMPEZA E CORTE DE GRAMA ESCRITORIO DE IVINHEMA</t>
  </si>
  <si>
    <t>SUBINSCRIÇÃO DE CAPITAL</t>
  </si>
  <si>
    <t xml:space="preserve">LIMPEZA ESCRITORIO DE TERRA RICA </t>
  </si>
  <si>
    <t xml:space="preserve">FATURA CARTÃO DE CRÉDITO </t>
  </si>
  <si>
    <t xml:space="preserve">1 AÇÃO - ABRIL - CARLA </t>
  </si>
  <si>
    <t>SUBINSCRIÇÃO DE CAPITAL CONTA ADENILSON</t>
  </si>
  <si>
    <t>ALMOÇO YOHANA - VISITA AO ESCRITORIO DE VENCESLAU</t>
  </si>
  <si>
    <t>ALMOÇO NETO - VISITA AO ESCRITORIO DE VENCESLAU</t>
  </si>
  <si>
    <t xml:space="preserve">BATERIA MOBI 09 </t>
  </si>
  <si>
    <t>COMPRA DE MATERIAIS PARA ESCRITÓRIO VENCESLAU</t>
  </si>
  <si>
    <t>BALANCEAMENTO E MONTAGEM PNEU - MOBI 01</t>
  </si>
  <si>
    <t>LIMPEZA ESCRITORIO DE VENCESLAU</t>
  </si>
  <si>
    <t>ADMINISTRATIVO - CARLA - FIRMINIA DO AMARAL</t>
  </si>
  <si>
    <t>ADMINISTRATIVO - CARLA - ISRAEL LOPES</t>
  </si>
  <si>
    <t>ADMINISTRATIVO - LEONARDO -  MARIA JOB DE ABREU</t>
  </si>
  <si>
    <t>COMPRA DE TONNERS</t>
  </si>
  <si>
    <t>COMISSÃO 69 AÇÕES - MOTTA</t>
  </si>
  <si>
    <t>COMISSÃO 84 AÇÕES - MOTTA</t>
  </si>
  <si>
    <t>COMISSÕES 69 AÇÕES PAULO</t>
  </si>
  <si>
    <t>COMISSÃO 84 AÇÕES - PAULO</t>
  </si>
  <si>
    <t>COMPRA DE RPV - VERA LUCIA VILAR DE BARROS</t>
  </si>
  <si>
    <t>COMPRA DE RPV - ALEXSANDRO MARQUES TELES</t>
  </si>
  <si>
    <t>COMPRA DE RPV - MARIA SOCORRO RODRIGUES NAVARRO</t>
  </si>
  <si>
    <t>COMPRA DE RPV - JUCELIA MASCARENHAS OLIVEIRA</t>
  </si>
  <si>
    <t xml:space="preserve">COMPRA DE RPV - ELI ROBERTO LORENZETTI </t>
  </si>
  <si>
    <t>COMPRA DE RPV - IVONETE RODRIGUES DA SILVA</t>
  </si>
  <si>
    <t>P</t>
  </si>
  <si>
    <t>p</t>
  </si>
  <si>
    <t>COMPRA NIPPON - ESCRITORIO DE TERRA RICA</t>
  </si>
  <si>
    <t>DIFERENÇA NEGOCIAÇÃO EMPRESTIMO MOTTA</t>
  </si>
  <si>
    <t xml:space="preserve">BENEFICIO - MARTA - CLIENTE ENZO HENRIQUE RODRIGUES </t>
  </si>
  <si>
    <t>PEDAGIO - JESSICA</t>
  </si>
  <si>
    <t xml:space="preserve">ESCRITÓRIO PRIMAVERA ANTIGO </t>
  </si>
  <si>
    <t xml:space="preserve">07 REFEIÇÕES - MOTTA - VENCESLAU </t>
  </si>
  <si>
    <t>PARCELA MOBI 17 - 35/48</t>
  </si>
  <si>
    <t>B18</t>
  </si>
  <si>
    <t>PARCELA MOBI 18 - 35/48</t>
  </si>
  <si>
    <t>01 PEDAGIO -MOTTA - VENCESLUA</t>
  </si>
  <si>
    <t>SEGURO DE VIDA - FUNCIONÁRIOS</t>
  </si>
  <si>
    <t>COMPRA CHUVEIRO - ESCRITORIO DE IVINHEMA</t>
  </si>
  <si>
    <t>INSTALAÇÃO DE CAMERAS ( TERRA RICA, VENCESLAU, TEODORO E IVINHEMA)</t>
  </si>
  <si>
    <t xml:space="preserve">ANIVERSARIO MÊS DE ABRIL </t>
  </si>
  <si>
    <t>1 AÇÃO - SEMANA - MAIO - ALEXSANDRO</t>
  </si>
  <si>
    <t>1 AÇÃO - SEMANA - MAIO - CARLA</t>
  </si>
  <si>
    <t xml:space="preserve">7 AÇÕES - SEMANA - MAIO - ALECIO </t>
  </si>
  <si>
    <t xml:space="preserve">BONIFICAÇÃO 1 PARA 200 - CLAUDEIR </t>
  </si>
  <si>
    <t xml:space="preserve">BONIFICAÇÃO 2 PARA 250 - CLAUDEIR </t>
  </si>
  <si>
    <t>1 AÇÕES - SEMANA - MAIO - LEANDRO THOMAZ</t>
  </si>
  <si>
    <t>04 AÇÕES - SEMANA - MAIO - LEANDRO RODRIGUES ( 2 MATERNIDADE )</t>
  </si>
  <si>
    <t xml:space="preserve">02 AÇÕES - SEMANA - MAIO - LEONARDO </t>
  </si>
  <si>
    <t xml:space="preserve">1 AÇÃO - SEMANA - MAIO - MOTTA </t>
  </si>
  <si>
    <t>1 AÇÃO - SEMANA - MAIO - CLAUDEIR</t>
  </si>
  <si>
    <t>2 AÇÕES - SEMANA - MAIO - CLAUDEIR</t>
  </si>
  <si>
    <t>07 REFEIÇÕES - PAULO - MS</t>
  </si>
  <si>
    <t xml:space="preserve">1 AÇÃO - SEMANA - MAIO - LEANDRO THOMAZ </t>
  </si>
  <si>
    <t>DEVOLUÇÃO HOTEL - VENCESLAU</t>
  </si>
  <si>
    <t xml:space="preserve">SALDO A MAIS </t>
  </si>
  <si>
    <t>15/05/206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</si>
</sst>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98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7">
    <xf numFmtId="0" fontId="0" fillId="0" borderId="0" xfId="0"/>
    <xf numFmtId="44" fontId="0" fillId="0" borderId="0" xfId="1" applyFont="1"/>
    <xf numFmtId="0" fontId="4" fillId="0" borderId="0" xfId="0" applyFont="1"/>
    <xf numFmtId="14" fontId="0" fillId="0" borderId="0" xfId="0" applyNumberFormat="1"/>
    <xf numFmtId="44" fontId="2" fillId="0" borderId="0" xfId="1" applyFont="1"/>
    <xf numFmtId="0" fontId="5" fillId="0" borderId="0" xfId="0" applyFont="1"/>
    <xf numFmtId="44" fontId="5" fillId="0" borderId="0" xfId="1" applyFont="1"/>
    <xf numFmtId="44" fontId="0" fillId="0" borderId="0" xfId="0" applyNumberFormat="1"/>
    <xf numFmtId="44" fontId="7" fillId="0" borderId="0" xfId="1" applyFont="1"/>
    <xf numFmtId="14" fontId="7" fillId="0" borderId="0" xfId="1" applyNumberFormat="1" applyFont="1"/>
    <xf numFmtId="0" fontId="8" fillId="0" borderId="0" xfId="0" applyFont="1"/>
    <xf numFmtId="14" fontId="2" fillId="0" borderId="0" xfId="1" applyNumberFormat="1" applyFont="1"/>
    <xf numFmtId="43" fontId="5" fillId="2" borderId="0" xfId="5" applyFont="1" applyFill="1"/>
    <xf numFmtId="43" fontId="8" fillId="2" borderId="0" xfId="5" applyFont="1" applyFill="1"/>
    <xf numFmtId="43" fontId="5" fillId="3" borderId="0" xfId="5" applyFont="1" applyFill="1"/>
    <xf numFmtId="43" fontId="6" fillId="2" borderId="0" xfId="5" applyFont="1" applyFill="1"/>
    <xf numFmtId="43" fontId="0" fillId="0" borderId="0" xfId="5" applyFont="1"/>
    <xf numFmtId="43" fontId="2" fillId="0" borderId="0" xfId="5" applyFont="1"/>
    <xf numFmtId="0" fontId="4" fillId="2" borderId="0" xfId="0" applyFont="1" applyFill="1"/>
    <xf numFmtId="44" fontId="4" fillId="2" borderId="0" xfId="1" applyFont="1" applyFill="1"/>
    <xf numFmtId="0" fontId="4" fillId="4" borderId="0" xfId="0" applyFont="1" applyFill="1"/>
    <xf numFmtId="44" fontId="4" fillId="4" borderId="0" xfId="0" applyNumberFormat="1" applyFont="1" applyFill="1"/>
    <xf numFmtId="44" fontId="4" fillId="4" borderId="0" xfId="1" applyFont="1" applyFill="1"/>
    <xf numFmtId="49" fontId="2" fillId="0" borderId="0" xfId="1" applyNumberFormat="1" applyFont="1" applyAlignment="1">
      <alignment horizontal="center"/>
    </xf>
    <xf numFmtId="49" fontId="7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3" fontId="0" fillId="0" borderId="0" xfId="0" applyNumberFormat="1"/>
    <xf numFmtId="44" fontId="12" fillId="0" borderId="0" xfId="1" applyFont="1"/>
    <xf numFmtId="43" fontId="11" fillId="2" borderId="0" xfId="5" applyFont="1" applyFill="1"/>
    <xf numFmtId="49" fontId="12" fillId="0" borderId="0" xfId="1" applyNumberFormat="1" applyFont="1" applyAlignment="1">
      <alignment horizontal="center"/>
    </xf>
    <xf numFmtId="14" fontId="12" fillId="0" borderId="0" xfId="1" applyNumberFormat="1" applyFont="1"/>
    <xf numFmtId="10" fontId="0" fillId="0" borderId="0" xfId="0" applyNumberFormat="1"/>
    <xf numFmtId="9" fontId="0" fillId="0" borderId="0" xfId="0" applyNumberFormat="1"/>
    <xf numFmtId="43" fontId="5" fillId="2" borderId="0" xfId="5" applyFont="1" applyFill="1" applyBorder="1"/>
    <xf numFmtId="0" fontId="9" fillId="5" borderId="0" xfId="0" applyFont="1" applyFill="1"/>
    <xf numFmtId="44" fontId="9" fillId="5" borderId="0" xfId="1" applyFont="1" applyFill="1"/>
    <xf numFmtId="43" fontId="11" fillId="2" borderId="0" xfId="5" applyFont="1" applyFill="1" applyBorder="1"/>
    <xf numFmtId="49" fontId="2" fillId="0" borderId="0" xfId="1" applyNumberFormat="1" applyFont="1" applyAlignment="1">
      <alignment horizontal="left"/>
    </xf>
    <xf numFmtId="43" fontId="13" fillId="2" borderId="0" xfId="5" applyFont="1" applyFill="1"/>
    <xf numFmtId="43" fontId="13" fillId="2" borderId="0" xfId="5" applyFont="1" applyFill="1" applyBorder="1"/>
    <xf numFmtId="16" fontId="0" fillId="0" borderId="0" xfId="0" applyNumberFormat="1"/>
    <xf numFmtId="43" fontId="14" fillId="2" borderId="0" xfId="5" applyFont="1" applyFill="1"/>
    <xf numFmtId="43" fontId="14" fillId="3" borderId="0" xfId="5" applyFont="1" applyFill="1"/>
    <xf numFmtId="43" fontId="14" fillId="2" borderId="0" xfId="5" applyFont="1" applyFill="1" applyBorder="1"/>
    <xf numFmtId="44" fontId="2" fillId="0" borderId="0" xfId="1" applyFont="1" applyFill="1"/>
    <xf numFmtId="43" fontId="14" fillId="2" borderId="5" xfId="5" applyFont="1" applyFill="1" applyBorder="1"/>
    <xf numFmtId="43" fontId="16" fillId="2" borderId="0" xfId="5" applyFont="1" applyFill="1"/>
    <xf numFmtId="0" fontId="0" fillId="0" borderId="0" xfId="0" quotePrefix="1"/>
    <xf numFmtId="44" fontId="17" fillId="0" borderId="0" xfId="1" applyFont="1"/>
    <xf numFmtId="49" fontId="17" fillId="0" borderId="0" xfId="1" applyNumberFormat="1" applyFont="1" applyAlignment="1">
      <alignment horizontal="center"/>
    </xf>
    <xf numFmtId="14" fontId="17" fillId="0" borderId="0" xfId="1" applyNumberFormat="1" applyFont="1"/>
    <xf numFmtId="0" fontId="18" fillId="0" borderId="0" xfId="0" applyFont="1"/>
    <xf numFmtId="43" fontId="18" fillId="2" borderId="0" xfId="5" applyFont="1" applyFill="1"/>
    <xf numFmtId="49" fontId="5" fillId="0" borderId="0" xfId="1" applyNumberFormat="1" applyFont="1" applyAlignment="1">
      <alignment horizontal="center"/>
    </xf>
    <xf numFmtId="0" fontId="0" fillId="0" borderId="0" xfId="0" applyAlignment="1">
      <alignment wrapText="1"/>
    </xf>
    <xf numFmtId="14" fontId="19" fillId="0" borderId="0" xfId="1" applyNumberFormat="1" applyFont="1"/>
    <xf numFmtId="43" fontId="5" fillId="2" borderId="4" xfId="5" applyFont="1" applyFill="1" applyBorder="1"/>
    <xf numFmtId="43" fontId="20" fillId="2" borderId="0" xfId="5" applyFont="1" applyFill="1" applyBorder="1"/>
    <xf numFmtId="49" fontId="21" fillId="0" borderId="0" xfId="1" applyNumberFormat="1" applyFont="1" applyAlignment="1">
      <alignment horizontal="center"/>
    </xf>
    <xf numFmtId="43" fontId="5" fillId="0" borderId="0" xfId="5" applyFont="1" applyFill="1" applyBorder="1"/>
    <xf numFmtId="43" fontId="20" fillId="2" borderId="0" xfId="5" applyFont="1" applyFill="1"/>
    <xf numFmtId="8" fontId="0" fillId="0" borderId="0" xfId="0" applyNumberFormat="1"/>
    <xf numFmtId="49" fontId="23" fillId="0" borderId="0" xfId="1" applyNumberFormat="1" applyFont="1" applyAlignment="1">
      <alignment horizontal="center"/>
    </xf>
    <xf numFmtId="43" fontId="22" fillId="2" borderId="0" xfId="5" applyFont="1" applyFill="1"/>
    <xf numFmtId="44" fontId="2" fillId="0" borderId="0" xfId="1" applyFont="1" applyAlignment="1"/>
    <xf numFmtId="44" fontId="7" fillId="0" borderId="0" xfId="1" applyFont="1" applyAlignment="1"/>
    <xf numFmtId="43" fontId="22" fillId="2" borderId="0" xfId="5" applyFont="1" applyFill="1" applyBorder="1"/>
    <xf numFmtId="49" fontId="5" fillId="0" borderId="0" xfId="0" applyNumberFormat="1" applyFont="1" applyAlignment="1">
      <alignment horizontal="center"/>
    </xf>
    <xf numFmtId="49" fontId="24" fillId="0" borderId="0" xfId="1" applyNumberFormat="1" applyFont="1" applyAlignment="1">
      <alignment horizontal="center"/>
    </xf>
    <xf numFmtId="0" fontId="25" fillId="0" borderId="0" xfId="0" applyFont="1"/>
    <xf numFmtId="44" fontId="24" fillId="0" borderId="0" xfId="1" applyFont="1"/>
    <xf numFmtId="43" fontId="25" fillId="2" borderId="0" xfId="5" applyFont="1" applyFill="1"/>
    <xf numFmtId="44" fontId="24" fillId="0" borderId="0" xfId="1" applyFont="1" applyAlignment="1"/>
    <xf numFmtId="14" fontId="24" fillId="0" borderId="0" xfId="1" applyNumberFormat="1" applyFont="1"/>
    <xf numFmtId="43" fontId="25" fillId="3" borderId="0" xfId="5" applyFont="1" applyFill="1"/>
    <xf numFmtId="44" fontId="24" fillId="0" borderId="0" xfId="1" applyFont="1" applyFill="1"/>
    <xf numFmtId="0" fontId="26" fillId="0" borderId="0" xfId="0" applyFont="1"/>
    <xf numFmtId="4" fontId="26" fillId="0" borderId="0" xfId="0" applyNumberFormat="1" applyFont="1"/>
    <xf numFmtId="44" fontId="27" fillId="0" borderId="0" xfId="1" applyFont="1"/>
    <xf numFmtId="49" fontId="27" fillId="0" borderId="0" xfId="1" applyNumberFormat="1" applyFont="1" applyAlignment="1">
      <alignment horizontal="center"/>
    </xf>
    <xf numFmtId="14" fontId="27" fillId="0" borderId="0" xfId="1" applyNumberFormat="1" applyFont="1"/>
    <xf numFmtId="43" fontId="28" fillId="3" borderId="0" xfId="5" applyFont="1" applyFill="1"/>
    <xf numFmtId="0" fontId="29" fillId="0" borderId="0" xfId="0" applyFont="1"/>
    <xf numFmtId="44" fontId="30" fillId="0" borderId="0" xfId="1" applyFont="1"/>
    <xf numFmtId="49" fontId="30" fillId="0" borderId="0" xfId="1" applyNumberFormat="1" applyFont="1" applyAlignment="1">
      <alignment horizontal="center"/>
    </xf>
    <xf numFmtId="14" fontId="30" fillId="0" borderId="0" xfId="1" applyNumberFormat="1" applyFont="1"/>
    <xf numFmtId="43" fontId="29" fillId="2" borderId="0" xfId="5" applyFont="1" applyFill="1"/>
    <xf numFmtId="43" fontId="29" fillId="3" borderId="0" xfId="5" applyFont="1" applyFill="1"/>
    <xf numFmtId="43" fontId="31" fillId="2" borderId="0" xfId="5" applyFont="1" applyFill="1"/>
    <xf numFmtId="49" fontId="32" fillId="0" borderId="0" xfId="1" applyNumberFormat="1" applyFont="1" applyAlignment="1">
      <alignment horizontal="center"/>
    </xf>
    <xf numFmtId="43" fontId="11" fillId="3" borderId="0" xfId="5" applyFont="1" applyFill="1"/>
    <xf numFmtId="0" fontId="31" fillId="0" borderId="0" xfId="0" applyFont="1"/>
    <xf numFmtId="44" fontId="32" fillId="0" borderId="0" xfId="1" applyFont="1"/>
    <xf numFmtId="44" fontId="32" fillId="0" borderId="0" xfId="1" applyFont="1" applyAlignment="1"/>
    <xf numFmtId="14" fontId="32" fillId="0" borderId="0" xfId="1" applyNumberFormat="1" applyFont="1"/>
    <xf numFmtId="49" fontId="33" fillId="0" borderId="0" xfId="1" applyNumberFormat="1" applyFont="1" applyAlignment="1">
      <alignment horizontal="center"/>
    </xf>
    <xf numFmtId="14" fontId="33" fillId="0" borderId="0" xfId="1" applyNumberFormat="1" applyFont="1"/>
    <xf numFmtId="43" fontId="5" fillId="3" borderId="0" xfId="5" applyFont="1" applyFill="1" applyBorder="1"/>
    <xf numFmtId="44" fontId="35" fillId="0" borderId="0" xfId="1" applyFont="1"/>
    <xf numFmtId="43" fontId="34" fillId="2" borderId="0" xfId="5" applyFont="1" applyFill="1"/>
    <xf numFmtId="49" fontId="35" fillId="0" borderId="0" xfId="1" applyNumberFormat="1" applyFont="1" applyAlignment="1">
      <alignment horizontal="center"/>
    </xf>
    <xf numFmtId="14" fontId="35" fillId="0" borderId="0" xfId="1" applyNumberFormat="1" applyFont="1"/>
    <xf numFmtId="43" fontId="34" fillId="2" borderId="0" xfId="5" applyFont="1" applyFill="1" applyBorder="1"/>
    <xf numFmtId="43" fontId="36" fillId="2" borderId="0" xfId="5" applyFont="1" applyFill="1"/>
    <xf numFmtId="49" fontId="37" fillId="0" borderId="0" xfId="1" applyNumberFormat="1" applyFont="1" applyAlignment="1">
      <alignment horizontal="center"/>
    </xf>
    <xf numFmtId="44" fontId="38" fillId="0" borderId="0" xfId="1" applyFont="1"/>
    <xf numFmtId="49" fontId="38" fillId="0" borderId="0" xfId="1" applyNumberFormat="1" applyFont="1" applyAlignment="1">
      <alignment horizontal="center"/>
    </xf>
    <xf numFmtId="14" fontId="38" fillId="0" borderId="0" xfId="1" applyNumberFormat="1" applyFont="1"/>
    <xf numFmtId="49" fontId="7" fillId="0" borderId="0" xfId="1" applyNumberFormat="1" applyFont="1" applyAlignment="1">
      <alignment horizontal="left"/>
    </xf>
    <xf numFmtId="43" fontId="39" fillId="2" borderId="0" xfId="5" applyFont="1" applyFill="1"/>
    <xf numFmtId="49" fontId="40" fillId="0" borderId="0" xfId="1" applyNumberFormat="1" applyFont="1" applyAlignment="1">
      <alignment horizontal="center"/>
    </xf>
    <xf numFmtId="14" fontId="40" fillId="0" borderId="0" xfId="1" applyNumberFormat="1" applyFont="1"/>
    <xf numFmtId="49" fontId="41" fillId="0" borderId="0" xfId="1" applyNumberFormat="1" applyFont="1" applyAlignment="1">
      <alignment horizontal="center"/>
    </xf>
    <xf numFmtId="14" fontId="41" fillId="0" borderId="0" xfId="1" applyNumberFormat="1" applyFont="1"/>
    <xf numFmtId="44" fontId="41" fillId="0" borderId="0" xfId="1" applyFont="1"/>
    <xf numFmtId="49" fontId="42" fillId="0" borderId="0" xfId="1" applyNumberFormat="1" applyFont="1" applyAlignment="1">
      <alignment horizontal="center"/>
    </xf>
    <xf numFmtId="0" fontId="43" fillId="0" borderId="0" xfId="0" applyFont="1"/>
    <xf numFmtId="44" fontId="44" fillId="0" borderId="0" xfId="1" applyFont="1"/>
    <xf numFmtId="44" fontId="44" fillId="0" borderId="0" xfId="1" applyFont="1" applyAlignment="1"/>
    <xf numFmtId="49" fontId="44" fillId="0" borderId="0" xfId="1" applyNumberFormat="1" applyFont="1" applyAlignment="1">
      <alignment horizontal="center"/>
    </xf>
    <xf numFmtId="14" fontId="44" fillId="0" borderId="0" xfId="1" applyNumberFormat="1" applyFont="1"/>
    <xf numFmtId="43" fontId="43" fillId="2" borderId="0" xfId="5" applyFont="1" applyFill="1"/>
    <xf numFmtId="43" fontId="43" fillId="2" borderId="0" xfId="5" applyFont="1" applyFill="1" applyBorder="1"/>
    <xf numFmtId="43" fontId="43" fillId="3" borderId="0" xfId="5" applyFont="1" applyFill="1"/>
    <xf numFmtId="43" fontId="5" fillId="7" borderId="0" xfId="5" applyFont="1" applyFill="1"/>
    <xf numFmtId="43" fontId="8" fillId="3" borderId="0" xfId="5" applyFont="1" applyFill="1"/>
    <xf numFmtId="18" fontId="5" fillId="0" borderId="0" xfId="0" applyNumberFormat="1" applyFont="1"/>
    <xf numFmtId="0" fontId="3" fillId="6" borderId="1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1" xfId="0" applyFont="1" applyFill="1" applyBorder="1" applyAlignment="1">
      <alignment horizontal="center"/>
    </xf>
  </cellXfs>
  <cellStyles count="198">
    <cellStyle name="Moeda" xfId="1" builtinId="4"/>
    <cellStyle name="Moeda 10" xfId="28" xr:uid="{00000000-0005-0000-0000-000001000000}"/>
    <cellStyle name="Moeda 10 2" xfId="77" xr:uid="{00000000-0005-0000-0000-000002000000}"/>
    <cellStyle name="Moeda 10 2 2" xfId="169" xr:uid="{00000000-0005-0000-0000-000003000000}"/>
    <cellStyle name="Moeda 10 3" xfId="123" xr:uid="{00000000-0005-0000-0000-000004000000}"/>
    <cellStyle name="Moeda 11" xfId="6" xr:uid="{00000000-0005-0000-0000-000005000000}"/>
    <cellStyle name="Moeda 11 2" xfId="79" xr:uid="{00000000-0005-0000-0000-000006000000}"/>
    <cellStyle name="Moeda 11 2 2" xfId="171" xr:uid="{00000000-0005-0000-0000-000007000000}"/>
    <cellStyle name="Moeda 11 3" xfId="125" xr:uid="{00000000-0005-0000-0000-000008000000}"/>
    <cellStyle name="Moeda 11 4" xfId="30" xr:uid="{00000000-0005-0000-0000-000009000000}"/>
    <cellStyle name="Moeda 12" xfId="32" xr:uid="{00000000-0005-0000-0000-00000A000000}"/>
    <cellStyle name="Moeda 12 2" xfId="81" xr:uid="{00000000-0005-0000-0000-00000B000000}"/>
    <cellStyle name="Moeda 12 2 2" xfId="173" xr:uid="{00000000-0005-0000-0000-00000C000000}"/>
    <cellStyle name="Moeda 12 3" xfId="127" xr:uid="{00000000-0005-0000-0000-00000D000000}"/>
    <cellStyle name="Moeda 13" xfId="34" xr:uid="{00000000-0005-0000-0000-00000E000000}"/>
    <cellStyle name="Moeda 13 2" xfId="83" xr:uid="{00000000-0005-0000-0000-00000F000000}"/>
    <cellStyle name="Moeda 13 2 2" xfId="175" xr:uid="{00000000-0005-0000-0000-000010000000}"/>
    <cellStyle name="Moeda 13 3" xfId="129" xr:uid="{00000000-0005-0000-0000-000011000000}"/>
    <cellStyle name="Moeda 14" xfId="52" xr:uid="{00000000-0005-0000-0000-000012000000}"/>
    <cellStyle name="Moeda 14 2" xfId="101" xr:uid="{00000000-0005-0000-0000-000013000000}"/>
    <cellStyle name="Moeda 14 2 2" xfId="193" xr:uid="{00000000-0005-0000-0000-000014000000}"/>
    <cellStyle name="Moeda 14 3" xfId="147" xr:uid="{00000000-0005-0000-0000-000015000000}"/>
    <cellStyle name="Moeda 15" xfId="54" xr:uid="{00000000-0005-0000-0000-000016000000}"/>
    <cellStyle name="Moeda 15 2" xfId="103" xr:uid="{00000000-0005-0000-0000-000017000000}"/>
    <cellStyle name="Moeda 15 2 2" xfId="195" xr:uid="{00000000-0005-0000-0000-000018000000}"/>
    <cellStyle name="Moeda 15 3" xfId="149" xr:uid="{00000000-0005-0000-0000-000019000000}"/>
    <cellStyle name="Moeda 16" xfId="7" xr:uid="{00000000-0005-0000-0000-00001A000000}"/>
    <cellStyle name="Moeda 16 2" xfId="151" xr:uid="{00000000-0005-0000-0000-00001B000000}"/>
    <cellStyle name="Moeda 16 3" xfId="55" xr:uid="{00000000-0005-0000-0000-00001C000000}"/>
    <cellStyle name="Moeda 17" xfId="59" xr:uid="{00000000-0005-0000-0000-00001D000000}"/>
    <cellStyle name="Moeda 18" xfId="105" xr:uid="{00000000-0005-0000-0000-00001E000000}"/>
    <cellStyle name="Moeda 19" xfId="196" xr:uid="{00000000-0005-0000-0000-00001F000000}"/>
    <cellStyle name="Moeda 2" xfId="12" xr:uid="{00000000-0005-0000-0000-000020000000}"/>
    <cellStyle name="Moeda 2 2" xfId="36" xr:uid="{00000000-0005-0000-0000-000021000000}"/>
    <cellStyle name="Moeda 2 2 2" xfId="85" xr:uid="{00000000-0005-0000-0000-000022000000}"/>
    <cellStyle name="Moeda 2 2 2 2" xfId="177" xr:uid="{00000000-0005-0000-0000-000023000000}"/>
    <cellStyle name="Moeda 2 2 3" xfId="131" xr:uid="{00000000-0005-0000-0000-000024000000}"/>
    <cellStyle name="Moeda 2 3" xfId="61" xr:uid="{00000000-0005-0000-0000-000025000000}"/>
    <cellStyle name="Moeda 2 3 2" xfId="153" xr:uid="{00000000-0005-0000-0000-000026000000}"/>
    <cellStyle name="Moeda 2 4" xfId="107" xr:uid="{00000000-0005-0000-0000-000027000000}"/>
    <cellStyle name="Moeda 20" xfId="10" xr:uid="{00000000-0005-0000-0000-000028000000}"/>
    <cellStyle name="Moeda 21" xfId="197" xr:uid="{00000000-0005-0000-0000-000029000000}"/>
    <cellStyle name="Moeda 3" xfId="2" xr:uid="{00000000-0005-0000-0000-00002A000000}"/>
    <cellStyle name="Moeda 3 2" xfId="38" xr:uid="{00000000-0005-0000-0000-00002B000000}"/>
    <cellStyle name="Moeda 3 2 2" xfId="87" xr:uid="{00000000-0005-0000-0000-00002C000000}"/>
    <cellStyle name="Moeda 3 2 2 2" xfId="179" xr:uid="{00000000-0005-0000-0000-00002D000000}"/>
    <cellStyle name="Moeda 3 2 3" xfId="133" xr:uid="{00000000-0005-0000-0000-00002E000000}"/>
    <cellStyle name="Moeda 3 3" xfId="63" xr:uid="{00000000-0005-0000-0000-00002F000000}"/>
    <cellStyle name="Moeda 3 3 2" xfId="155" xr:uid="{00000000-0005-0000-0000-000030000000}"/>
    <cellStyle name="Moeda 3 4" xfId="109" xr:uid="{00000000-0005-0000-0000-000031000000}"/>
    <cellStyle name="Moeda 3 5" xfId="14" xr:uid="{00000000-0005-0000-0000-000032000000}"/>
    <cellStyle name="Moeda 4" xfId="16" xr:uid="{00000000-0005-0000-0000-000033000000}"/>
    <cellStyle name="Moeda 4 2" xfId="40" xr:uid="{00000000-0005-0000-0000-000034000000}"/>
    <cellStyle name="Moeda 4 2 2" xfId="89" xr:uid="{00000000-0005-0000-0000-000035000000}"/>
    <cellStyle name="Moeda 4 2 2 2" xfId="181" xr:uid="{00000000-0005-0000-0000-000036000000}"/>
    <cellStyle name="Moeda 4 2 3" xfId="135" xr:uid="{00000000-0005-0000-0000-000037000000}"/>
    <cellStyle name="Moeda 4 3" xfId="65" xr:uid="{00000000-0005-0000-0000-000038000000}"/>
    <cellStyle name="Moeda 4 3 2" xfId="157" xr:uid="{00000000-0005-0000-0000-000039000000}"/>
    <cellStyle name="Moeda 4 4" xfId="111" xr:uid="{00000000-0005-0000-0000-00003A000000}"/>
    <cellStyle name="Moeda 5" xfId="8" xr:uid="{00000000-0005-0000-0000-00003B000000}"/>
    <cellStyle name="Moeda 5 2" xfId="42" xr:uid="{00000000-0005-0000-0000-00003C000000}"/>
    <cellStyle name="Moeda 5 2 2" xfId="91" xr:uid="{00000000-0005-0000-0000-00003D000000}"/>
    <cellStyle name="Moeda 5 2 2 2" xfId="183" xr:uid="{00000000-0005-0000-0000-00003E000000}"/>
    <cellStyle name="Moeda 5 2 3" xfId="137" xr:uid="{00000000-0005-0000-0000-00003F000000}"/>
    <cellStyle name="Moeda 5 3" xfId="67" xr:uid="{00000000-0005-0000-0000-000040000000}"/>
    <cellStyle name="Moeda 5 3 2" xfId="159" xr:uid="{00000000-0005-0000-0000-000041000000}"/>
    <cellStyle name="Moeda 5 4" xfId="113" xr:uid="{00000000-0005-0000-0000-000042000000}"/>
    <cellStyle name="Moeda 5 5" xfId="18" xr:uid="{00000000-0005-0000-0000-000043000000}"/>
    <cellStyle name="Moeda 6" xfId="20" xr:uid="{00000000-0005-0000-0000-000044000000}"/>
    <cellStyle name="Moeda 6 2" xfId="44" xr:uid="{00000000-0005-0000-0000-000045000000}"/>
    <cellStyle name="Moeda 6 2 2" xfId="93" xr:uid="{00000000-0005-0000-0000-000046000000}"/>
    <cellStyle name="Moeda 6 2 2 2" xfId="185" xr:uid="{00000000-0005-0000-0000-000047000000}"/>
    <cellStyle name="Moeda 6 2 3" xfId="139" xr:uid="{00000000-0005-0000-0000-000048000000}"/>
    <cellStyle name="Moeda 6 3" xfId="69" xr:uid="{00000000-0005-0000-0000-000049000000}"/>
    <cellStyle name="Moeda 6 3 2" xfId="161" xr:uid="{00000000-0005-0000-0000-00004A000000}"/>
    <cellStyle name="Moeda 6 4" xfId="115" xr:uid="{00000000-0005-0000-0000-00004B000000}"/>
    <cellStyle name="Moeda 7" xfId="3" xr:uid="{00000000-0005-0000-0000-00004C000000}"/>
    <cellStyle name="Moeda 7 2" xfId="46" xr:uid="{00000000-0005-0000-0000-00004D000000}"/>
    <cellStyle name="Moeda 7 2 2" xfId="95" xr:uid="{00000000-0005-0000-0000-00004E000000}"/>
    <cellStyle name="Moeda 7 2 2 2" xfId="187" xr:uid="{00000000-0005-0000-0000-00004F000000}"/>
    <cellStyle name="Moeda 7 2 3" xfId="141" xr:uid="{00000000-0005-0000-0000-000050000000}"/>
    <cellStyle name="Moeda 7 3" xfId="71" xr:uid="{00000000-0005-0000-0000-000051000000}"/>
    <cellStyle name="Moeda 7 3 2" xfId="163" xr:uid="{00000000-0005-0000-0000-000052000000}"/>
    <cellStyle name="Moeda 7 4" xfId="117" xr:uid="{00000000-0005-0000-0000-000053000000}"/>
    <cellStyle name="Moeda 7 5" xfId="22" xr:uid="{00000000-0005-0000-0000-000054000000}"/>
    <cellStyle name="Moeda 8" xfId="24" xr:uid="{00000000-0005-0000-0000-000055000000}"/>
    <cellStyle name="Moeda 8 2" xfId="48" xr:uid="{00000000-0005-0000-0000-000056000000}"/>
    <cellStyle name="Moeda 8 2 2" xfId="97" xr:uid="{00000000-0005-0000-0000-000057000000}"/>
    <cellStyle name="Moeda 8 2 2 2" xfId="189" xr:uid="{00000000-0005-0000-0000-000058000000}"/>
    <cellStyle name="Moeda 8 2 3" xfId="143" xr:uid="{00000000-0005-0000-0000-000059000000}"/>
    <cellStyle name="Moeda 8 3" xfId="73" xr:uid="{00000000-0005-0000-0000-00005A000000}"/>
    <cellStyle name="Moeda 8 3 2" xfId="165" xr:uid="{00000000-0005-0000-0000-00005B000000}"/>
    <cellStyle name="Moeda 8 4" xfId="119" xr:uid="{00000000-0005-0000-0000-00005C000000}"/>
    <cellStyle name="Moeda 9" xfId="4" xr:uid="{00000000-0005-0000-0000-00005D000000}"/>
    <cellStyle name="Moeda 9 2" xfId="50" xr:uid="{00000000-0005-0000-0000-00005E000000}"/>
    <cellStyle name="Moeda 9 2 2" xfId="99" xr:uid="{00000000-0005-0000-0000-00005F000000}"/>
    <cellStyle name="Moeda 9 2 2 2" xfId="191" xr:uid="{00000000-0005-0000-0000-000060000000}"/>
    <cellStyle name="Moeda 9 2 3" xfId="145" xr:uid="{00000000-0005-0000-0000-000061000000}"/>
    <cellStyle name="Moeda 9 3" xfId="75" xr:uid="{00000000-0005-0000-0000-000062000000}"/>
    <cellStyle name="Moeda 9 3 2" xfId="167" xr:uid="{00000000-0005-0000-0000-000063000000}"/>
    <cellStyle name="Moeda 9 4" xfId="121" xr:uid="{00000000-0005-0000-0000-000064000000}"/>
    <cellStyle name="Moeda 9 5" xfId="26" xr:uid="{00000000-0005-0000-0000-000065000000}"/>
    <cellStyle name="Normal" xfId="0" builtinId="0"/>
    <cellStyle name="Normal 2" xfId="57" xr:uid="{00000000-0005-0000-0000-000067000000}"/>
    <cellStyle name="Vírgula" xfId="5" builtinId="3"/>
    <cellStyle name="Vírgula 10" xfId="27" xr:uid="{00000000-0005-0000-0000-000069000000}"/>
    <cellStyle name="Vírgula 10 2" xfId="76" xr:uid="{00000000-0005-0000-0000-00006A000000}"/>
    <cellStyle name="Vírgula 10 2 2" xfId="168" xr:uid="{00000000-0005-0000-0000-00006B000000}"/>
    <cellStyle name="Vírgula 10 3" xfId="122" xr:uid="{00000000-0005-0000-0000-00006C000000}"/>
    <cellStyle name="Vírgula 11" xfId="29" xr:uid="{00000000-0005-0000-0000-00006D000000}"/>
    <cellStyle name="Vírgula 11 2" xfId="78" xr:uid="{00000000-0005-0000-0000-00006E000000}"/>
    <cellStyle name="Vírgula 11 2 2" xfId="170" xr:uid="{00000000-0005-0000-0000-00006F000000}"/>
    <cellStyle name="Vírgula 11 3" xfId="124" xr:uid="{00000000-0005-0000-0000-000070000000}"/>
    <cellStyle name="Vírgula 12" xfId="31" xr:uid="{00000000-0005-0000-0000-000071000000}"/>
    <cellStyle name="Vírgula 12 2" xfId="80" xr:uid="{00000000-0005-0000-0000-000072000000}"/>
    <cellStyle name="Vírgula 12 2 2" xfId="172" xr:uid="{00000000-0005-0000-0000-000073000000}"/>
    <cellStyle name="Vírgula 12 3" xfId="126" xr:uid="{00000000-0005-0000-0000-000074000000}"/>
    <cellStyle name="Vírgula 13" xfId="33" xr:uid="{00000000-0005-0000-0000-000075000000}"/>
    <cellStyle name="Vírgula 13 2" xfId="82" xr:uid="{00000000-0005-0000-0000-000076000000}"/>
    <cellStyle name="Vírgula 13 2 2" xfId="174" xr:uid="{00000000-0005-0000-0000-000077000000}"/>
    <cellStyle name="Vírgula 13 3" xfId="128" xr:uid="{00000000-0005-0000-0000-000078000000}"/>
    <cellStyle name="Vírgula 14" xfId="51" xr:uid="{00000000-0005-0000-0000-000079000000}"/>
    <cellStyle name="Vírgula 14 2" xfId="100" xr:uid="{00000000-0005-0000-0000-00007A000000}"/>
    <cellStyle name="Vírgula 14 2 2" xfId="192" xr:uid="{00000000-0005-0000-0000-00007B000000}"/>
    <cellStyle name="Vírgula 14 3" xfId="146" xr:uid="{00000000-0005-0000-0000-00007C000000}"/>
    <cellStyle name="Vírgula 15" xfId="53" xr:uid="{00000000-0005-0000-0000-00007D000000}"/>
    <cellStyle name="Vírgula 15 2" xfId="102" xr:uid="{00000000-0005-0000-0000-00007E000000}"/>
    <cellStyle name="Vírgula 15 2 2" xfId="194" xr:uid="{00000000-0005-0000-0000-00007F000000}"/>
    <cellStyle name="Vírgula 15 3" xfId="148" xr:uid="{00000000-0005-0000-0000-000080000000}"/>
    <cellStyle name="Vírgula 16" xfId="56" xr:uid="{00000000-0005-0000-0000-000081000000}"/>
    <cellStyle name="Vírgula 16 2" xfId="150" xr:uid="{00000000-0005-0000-0000-000082000000}"/>
    <cellStyle name="Vírgula 17" xfId="58" xr:uid="{00000000-0005-0000-0000-000083000000}"/>
    <cellStyle name="Vírgula 18" xfId="104" xr:uid="{00000000-0005-0000-0000-000084000000}"/>
    <cellStyle name="Vírgula 19" xfId="9" xr:uid="{00000000-0005-0000-0000-000085000000}"/>
    <cellStyle name="Vírgula 2" xfId="11" xr:uid="{00000000-0005-0000-0000-000086000000}"/>
    <cellStyle name="Vírgula 2 2" xfId="35" xr:uid="{00000000-0005-0000-0000-000087000000}"/>
    <cellStyle name="Vírgula 2 2 2" xfId="84" xr:uid="{00000000-0005-0000-0000-000088000000}"/>
    <cellStyle name="Vírgula 2 2 2 2" xfId="176" xr:uid="{00000000-0005-0000-0000-000089000000}"/>
    <cellStyle name="Vírgula 2 2 3" xfId="130" xr:uid="{00000000-0005-0000-0000-00008A000000}"/>
    <cellStyle name="Vírgula 2 3" xfId="60" xr:uid="{00000000-0005-0000-0000-00008B000000}"/>
    <cellStyle name="Vírgula 2 3 2" xfId="152" xr:uid="{00000000-0005-0000-0000-00008C000000}"/>
    <cellStyle name="Vírgula 2 4" xfId="106" xr:uid="{00000000-0005-0000-0000-00008D000000}"/>
    <cellStyle name="Vírgula 3" xfId="13" xr:uid="{00000000-0005-0000-0000-00008E000000}"/>
    <cellStyle name="Vírgula 3 2" xfId="37" xr:uid="{00000000-0005-0000-0000-00008F000000}"/>
    <cellStyle name="Vírgula 3 2 2" xfId="86" xr:uid="{00000000-0005-0000-0000-000090000000}"/>
    <cellStyle name="Vírgula 3 2 2 2" xfId="178" xr:uid="{00000000-0005-0000-0000-000091000000}"/>
    <cellStyle name="Vírgula 3 2 3" xfId="132" xr:uid="{00000000-0005-0000-0000-000092000000}"/>
    <cellStyle name="Vírgula 3 3" xfId="62" xr:uid="{00000000-0005-0000-0000-000093000000}"/>
    <cellStyle name="Vírgula 3 3 2" xfId="154" xr:uid="{00000000-0005-0000-0000-000094000000}"/>
    <cellStyle name="Vírgula 3 4" xfId="108" xr:uid="{00000000-0005-0000-0000-000095000000}"/>
    <cellStyle name="Vírgula 4" xfId="15" xr:uid="{00000000-0005-0000-0000-000096000000}"/>
    <cellStyle name="Vírgula 4 2" xfId="39" xr:uid="{00000000-0005-0000-0000-000097000000}"/>
    <cellStyle name="Vírgula 4 2 2" xfId="88" xr:uid="{00000000-0005-0000-0000-000098000000}"/>
    <cellStyle name="Vírgula 4 2 2 2" xfId="180" xr:uid="{00000000-0005-0000-0000-000099000000}"/>
    <cellStyle name="Vírgula 4 2 3" xfId="134" xr:uid="{00000000-0005-0000-0000-00009A000000}"/>
    <cellStyle name="Vírgula 4 3" xfId="64" xr:uid="{00000000-0005-0000-0000-00009B000000}"/>
    <cellStyle name="Vírgula 4 3 2" xfId="156" xr:uid="{00000000-0005-0000-0000-00009C000000}"/>
    <cellStyle name="Vírgula 4 4" xfId="110" xr:uid="{00000000-0005-0000-0000-00009D000000}"/>
    <cellStyle name="Vírgula 5" xfId="17" xr:uid="{00000000-0005-0000-0000-00009E000000}"/>
    <cellStyle name="Vírgula 5 2" xfId="41" xr:uid="{00000000-0005-0000-0000-00009F000000}"/>
    <cellStyle name="Vírgula 5 2 2" xfId="90" xr:uid="{00000000-0005-0000-0000-0000A0000000}"/>
    <cellStyle name="Vírgula 5 2 2 2" xfId="182" xr:uid="{00000000-0005-0000-0000-0000A1000000}"/>
    <cellStyle name="Vírgula 5 2 3" xfId="136" xr:uid="{00000000-0005-0000-0000-0000A2000000}"/>
    <cellStyle name="Vírgula 5 3" xfId="66" xr:uid="{00000000-0005-0000-0000-0000A3000000}"/>
    <cellStyle name="Vírgula 5 3 2" xfId="158" xr:uid="{00000000-0005-0000-0000-0000A4000000}"/>
    <cellStyle name="Vírgula 5 4" xfId="112" xr:uid="{00000000-0005-0000-0000-0000A5000000}"/>
    <cellStyle name="Vírgula 6" xfId="19" xr:uid="{00000000-0005-0000-0000-0000A6000000}"/>
    <cellStyle name="Vírgula 6 2" xfId="43" xr:uid="{00000000-0005-0000-0000-0000A7000000}"/>
    <cellStyle name="Vírgula 6 2 2" xfId="92" xr:uid="{00000000-0005-0000-0000-0000A8000000}"/>
    <cellStyle name="Vírgula 6 2 2 2" xfId="184" xr:uid="{00000000-0005-0000-0000-0000A9000000}"/>
    <cellStyle name="Vírgula 6 2 3" xfId="138" xr:uid="{00000000-0005-0000-0000-0000AA000000}"/>
    <cellStyle name="Vírgula 6 3" xfId="68" xr:uid="{00000000-0005-0000-0000-0000AB000000}"/>
    <cellStyle name="Vírgula 6 3 2" xfId="160" xr:uid="{00000000-0005-0000-0000-0000AC000000}"/>
    <cellStyle name="Vírgula 6 4" xfId="114" xr:uid="{00000000-0005-0000-0000-0000AD000000}"/>
    <cellStyle name="Vírgula 7" xfId="21" xr:uid="{00000000-0005-0000-0000-0000AE000000}"/>
    <cellStyle name="Vírgula 7 2" xfId="45" xr:uid="{00000000-0005-0000-0000-0000AF000000}"/>
    <cellStyle name="Vírgula 7 2 2" xfId="94" xr:uid="{00000000-0005-0000-0000-0000B0000000}"/>
    <cellStyle name="Vírgula 7 2 2 2" xfId="186" xr:uid="{00000000-0005-0000-0000-0000B1000000}"/>
    <cellStyle name="Vírgula 7 2 3" xfId="140" xr:uid="{00000000-0005-0000-0000-0000B2000000}"/>
    <cellStyle name="Vírgula 7 3" xfId="70" xr:uid="{00000000-0005-0000-0000-0000B3000000}"/>
    <cellStyle name="Vírgula 7 3 2" xfId="162" xr:uid="{00000000-0005-0000-0000-0000B4000000}"/>
    <cellStyle name="Vírgula 7 4" xfId="116" xr:uid="{00000000-0005-0000-0000-0000B5000000}"/>
    <cellStyle name="Vírgula 8" xfId="23" xr:uid="{00000000-0005-0000-0000-0000B6000000}"/>
    <cellStyle name="Vírgula 8 2" xfId="47" xr:uid="{00000000-0005-0000-0000-0000B7000000}"/>
    <cellStyle name="Vírgula 8 2 2" xfId="96" xr:uid="{00000000-0005-0000-0000-0000B8000000}"/>
    <cellStyle name="Vírgula 8 2 2 2" xfId="188" xr:uid="{00000000-0005-0000-0000-0000B9000000}"/>
    <cellStyle name="Vírgula 8 2 3" xfId="142" xr:uid="{00000000-0005-0000-0000-0000BA000000}"/>
    <cellStyle name="Vírgula 8 3" xfId="72" xr:uid="{00000000-0005-0000-0000-0000BB000000}"/>
    <cellStyle name="Vírgula 8 3 2" xfId="164" xr:uid="{00000000-0005-0000-0000-0000BC000000}"/>
    <cellStyle name="Vírgula 8 4" xfId="118" xr:uid="{00000000-0005-0000-0000-0000BD000000}"/>
    <cellStyle name="Vírgula 9" xfId="25" xr:uid="{00000000-0005-0000-0000-0000BE000000}"/>
    <cellStyle name="Vírgula 9 2" xfId="49" xr:uid="{00000000-0005-0000-0000-0000BF000000}"/>
    <cellStyle name="Vírgula 9 2 2" xfId="98" xr:uid="{00000000-0005-0000-0000-0000C0000000}"/>
    <cellStyle name="Vírgula 9 2 2 2" xfId="190" xr:uid="{00000000-0005-0000-0000-0000C1000000}"/>
    <cellStyle name="Vírgula 9 2 3" xfId="144" xr:uid="{00000000-0005-0000-0000-0000C2000000}"/>
    <cellStyle name="Vírgula 9 3" xfId="74" xr:uid="{00000000-0005-0000-0000-0000C3000000}"/>
    <cellStyle name="Vírgula 9 3 2" xfId="166" xr:uid="{00000000-0005-0000-0000-0000C4000000}"/>
    <cellStyle name="Vírgula 9 4" xfId="120" xr:uid="{00000000-0005-0000-0000-0000C5000000}"/>
  </cellStyles>
  <dxfs count="217">
    <dxf>
      <numFmt numFmtId="19" formatCode="dd/mm/yyyy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numFmt numFmtId="19" formatCode="dd/mm/yyyy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numFmt numFmtId="19" formatCode="dd/mm/yyyy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numFmt numFmtId="19" formatCode="dd/mm/yyyy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numFmt numFmtId="19" formatCode="dd/mm/yyyy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00000000}" name="Tabela40465776941121301481663910174" displayName="Tabela40465776941121301481663910174" ref="K2:AA19" totalsRowShown="0" tableBorderDxfId="216">
  <autoFilter ref="K2:AA19" xr:uid="{00000000-0009-0000-0100-000049000000}"/>
  <tableColumns count="17">
    <tableColumn id="1" xr3:uid="{00000000-0010-0000-0000-000001000000}" name="FROTA"/>
    <tableColumn id="2" xr3:uid="{00000000-0010-0000-0000-000002000000}" name="LEANDRO TR"/>
    <tableColumn id="3" xr3:uid="{00000000-0010-0000-0000-000003000000}" name="ROSELI"/>
    <tableColumn id="4" xr3:uid="{00000000-0010-0000-0000-000004000000}" name="ALEXSANDRO"/>
    <tableColumn id="5" xr3:uid="{00000000-0010-0000-0000-000005000000}" name="JESSICA"/>
    <tableColumn id="6" xr3:uid="{00000000-0010-0000-0000-000006000000}" name="CARLA"/>
    <tableColumn id="7" xr3:uid="{00000000-0010-0000-0000-000007000000}" name="LEONARDO"/>
    <tableColumn id="8" xr3:uid="{00000000-0010-0000-0000-000008000000}" name="CLAUDEIR"/>
    <tableColumn id="9" xr3:uid="{00000000-0010-0000-0000-000009000000}" name="LEANDRO SP"/>
    <tableColumn id="10" xr3:uid="{00000000-0010-0000-0000-00000A000000}" name="ADM"/>
    <tableColumn id="11" xr3:uid="{00000000-0010-0000-0000-00000B000000}" name="MOTTA"/>
    <tableColumn id="13" xr3:uid="{00000000-0010-0000-0000-00000D000000}" name="ALECIO"/>
    <tableColumn id="16" xr3:uid="{00000000-0010-0000-0000-000010000000}" name="MATHEUS" dataDxfId="215" dataCellStyle="Moeda"/>
    <tableColumn id="17" xr3:uid="{00000000-0010-0000-0000-000011000000}" name="VITOR" dataDxfId="214"/>
    <tableColumn id="12" xr3:uid="{00000000-0010-0000-0000-00000C000000}" name="MURILO"/>
    <tableColumn id="14" xr3:uid="{00000000-0010-0000-0000-00000E000000}" name="PAULO"/>
    <tableColumn id="15" xr3:uid="{00000000-0010-0000-0000-00000F000000}" name="TOTAL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01000000}" name="Tabela141111422294042496177951131311491674510475" displayName="Tabela141111422294042496177951131311491674510475" ref="A310:G329" totalsRowShown="0" headerRowDxfId="213" tableBorderDxfId="212" headerRowCellStyle="Moeda">
  <autoFilter ref="A310:G329" xr:uid="{00000000-0009-0000-0100-00004A000000}"/>
  <tableColumns count="7">
    <tableColumn id="1" xr3:uid="{00000000-0010-0000-0100-000001000000}" name="DESCRIÇÃO" dataDxfId="211"/>
    <tableColumn id="2" xr3:uid="{00000000-0010-0000-0100-000002000000}" name="DEPARTAMENTO" dataDxfId="210" dataCellStyle="Moeda"/>
    <tableColumn id="6" xr3:uid="{00000000-0010-0000-0100-000006000000}" name="VALOR" dataDxfId="209" dataCellStyle="Vírgula"/>
    <tableColumn id="7" xr3:uid="{00000000-0010-0000-0100-000007000000}" name="PAGOS" dataDxfId="208" dataCellStyle="Moeda"/>
    <tableColumn id="8" xr3:uid="{00000000-0010-0000-0100-000008000000}" name="SOLICITADO" dataDxfId="207" dataCellStyle="Moeda"/>
    <tableColumn id="3" xr3:uid="{00000000-0010-0000-0100-000003000000}" name="VENCIMENTO" dataDxfId="206" dataCellStyle="Moeda"/>
    <tableColumn id="4" xr3:uid="{00000000-0010-0000-0100-000004000000}" name="DATA PG" dataDxfId="205" dataCellStyle="Moeda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02000000}" name="Tabela14111142229446480981161341521695611179" displayName="Tabela14111142229446480981161341521695611179" ref="A2:H249" totalsRowShown="0" headerRowDxfId="204" tableBorderDxfId="203" headerRowCellStyle="Moeda">
  <autoFilter ref="A2:H249" xr:uid="{00000000-0009-0000-0100-00004E000000}"/>
  <sortState ref="A3:H244">
    <sortCondition ref="G2:G244"/>
  </sortState>
  <tableColumns count="8">
    <tableColumn id="1" xr3:uid="{00000000-0010-0000-0200-000001000000}" name="DESCRIÇÃO" dataDxfId="202"/>
    <tableColumn id="2" xr3:uid="{00000000-0010-0000-0200-000002000000}" name="TIPO DE DESPESA" dataDxfId="201" dataCellStyle="Moeda"/>
    <tableColumn id="5" xr3:uid="{00000000-0010-0000-0200-000005000000}" name="ESC / SETOR" dataDxfId="200" dataCellStyle="Moeda"/>
    <tableColumn id="6" xr3:uid="{00000000-0010-0000-0200-000006000000}" name="VALOR" dataDxfId="199" dataCellStyle="Vírgula"/>
    <tableColumn id="7" xr3:uid="{00000000-0010-0000-0200-000007000000}" name="PAGOS" dataDxfId="198" dataCellStyle="Moeda"/>
    <tableColumn id="8" xr3:uid="{00000000-0010-0000-0200-000008000000}" name="SOLICITADO" dataDxfId="197" dataCellStyle="Moeda"/>
    <tableColumn id="3" xr3:uid="{00000000-0010-0000-0200-000003000000}" name="DIA DE VENC." dataDxfId="196" dataCellStyle="Moeda"/>
    <tableColumn id="4" xr3:uid="{00000000-0010-0000-0200-000004000000}" name="DATA PG" dataDxfId="195" dataCellStyle="Moeda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03000000}" name="Tabela1411114222935476581991171351531706211583" displayName="Tabela1411114222935476581991171351531706211583" ref="A252:H265" totalsRowShown="0" headerRowDxfId="194" tableBorderDxfId="193" headerRowCellStyle="Moeda">
  <autoFilter ref="A252:H265" xr:uid="{00000000-0009-0000-0100-000052000000}"/>
  <tableColumns count="8">
    <tableColumn id="1" xr3:uid="{00000000-0010-0000-0300-000001000000}" name="   " dataDxfId="192"/>
    <tableColumn id="2" xr3:uid="{00000000-0010-0000-0300-000002000000}" name="TIPO DE DESPESA" dataDxfId="191" dataCellStyle="Moeda"/>
    <tableColumn id="5" xr3:uid="{00000000-0010-0000-0300-000005000000}" name="UNIDADE" dataDxfId="190" dataCellStyle="Moeda"/>
    <tableColumn id="6" xr3:uid="{00000000-0010-0000-0300-000006000000}" name="VALOR" dataDxfId="189" dataCellStyle="Vírgula"/>
    <tableColumn id="7" xr3:uid="{00000000-0010-0000-0300-000007000000}" name="PAGOS" dataDxfId="188" dataCellStyle="Moeda"/>
    <tableColumn id="8" xr3:uid="{00000000-0010-0000-0300-000008000000}" name="SOLICITADOS" dataDxfId="187" dataCellStyle="Moeda"/>
    <tableColumn id="3" xr3:uid="{00000000-0010-0000-0300-000003000000}" name="VENCIMENTO" dataDxfId="186" dataCellStyle="Moeda"/>
    <tableColumn id="4" xr3:uid="{00000000-0010-0000-0300-000004000000}" name="DATA PG" dataDxfId="185" dataCellStyle="Moeda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04000000}" name="Tabela14111142229404866821001181361541717111984" displayName="Tabela14111142229404866821001181361541717111984" ref="A268:G307" totalsRowShown="0" headerRowDxfId="184" tableBorderDxfId="183" headerRowCellStyle="Moeda">
  <autoFilter ref="A268:G307" xr:uid="{00000000-0009-0000-0100-000053000000}"/>
  <tableColumns count="7">
    <tableColumn id="1" xr3:uid="{00000000-0010-0000-0400-000001000000}" name="DESCRIÇÃO" dataDxfId="182"/>
    <tableColumn id="2" xr3:uid="{00000000-0010-0000-0400-000002000000}" name="DEPARTAMENTO" dataDxfId="181" dataCellStyle="Moeda"/>
    <tableColumn id="6" xr3:uid="{00000000-0010-0000-0400-000006000000}" name="VALOR" dataDxfId="180" dataCellStyle="Vírgula"/>
    <tableColumn id="7" xr3:uid="{00000000-0010-0000-0400-000007000000}" name="PAGOS" dataDxfId="179" dataCellStyle="Moeda"/>
    <tableColumn id="8" xr3:uid="{00000000-0010-0000-0400-000008000000}" name="SOLICITADO" dataDxfId="178" dataCellStyle="Moeda"/>
    <tableColumn id="3" xr3:uid="{00000000-0010-0000-0400-000003000000}" name="VENCIMENTO" dataDxfId="177" dataCellStyle="Moeda"/>
    <tableColumn id="4" xr3:uid="{00000000-0010-0000-0400-000004000000}" name="DATA PG" dataDxfId="176" dataCellStyle="Moeda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05000000}" name="Tabela91931031201381561737212192" displayName="Tabela91931031201381561737212192" ref="K43:T61" totalsRowShown="0">
  <autoFilter ref="K43:T61" xr:uid="{00000000-0009-0000-0100-00005B000000}"/>
  <tableColumns count="10">
    <tableColumn id="1" xr3:uid="{00000000-0010-0000-0500-000001000000}" name="DESPESAS"/>
    <tableColumn id="2" xr3:uid="{00000000-0010-0000-0500-000002000000}" name="TERRA RICA" dataCellStyle="Moeda"/>
    <tableColumn id="3" xr3:uid="{00000000-0010-0000-0500-000003000000}" name="PRIMAVERA" dataCellStyle="Moeda"/>
    <tableColumn id="4" xr3:uid="{00000000-0010-0000-0500-000004000000}" name="TEODORO" dataCellStyle="Moeda"/>
    <tableColumn id="5" xr3:uid="{00000000-0010-0000-0500-000005000000}" name="VENCESLAU" dataCellStyle="Moeda"/>
    <tableColumn id="6" xr3:uid="{00000000-0010-0000-0500-000006000000}" name="IVINHEMA" dataCellStyle="Moeda"/>
    <tableColumn id="10" xr3:uid="{00000000-0010-0000-0500-00000A000000}" name="RPV/ PRECATORIO" dataDxfId="175" dataCellStyle="Moeda"/>
    <tableColumn id="7" xr3:uid="{00000000-0010-0000-0500-000007000000}" name="ADMNISTRATIVO" dataCellStyle="Moeda"/>
    <tableColumn id="8" xr3:uid="{00000000-0010-0000-0500-000008000000}" name="CAMPO" dataCellStyle="Moeda"/>
    <tableColumn id="9" xr3:uid="{00000000-0010-0000-0500-000009000000}" name="GERAL" dataCellStyle="Moeda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06000000}" name="Tabela366378961141321581757312997" displayName="Tabela366378961141321581757312997" ref="K22:R36" totalsRowShown="0" tableBorderDxfId="174">
  <autoFilter ref="K22:R36" xr:uid="{00000000-0009-0000-0100-000060000000}"/>
  <tableColumns count="8">
    <tableColumn id="1" xr3:uid="{00000000-0010-0000-0600-000001000000}" name="FROTA"/>
    <tableColumn id="5" xr3:uid="{00000000-0010-0000-0600-000005000000}" name="PROPRIETARIO"/>
    <tableColumn id="2" xr3:uid="{00000000-0010-0000-0600-000002000000}" name="VALOR" dataCellStyle="Moeda"/>
    <tableColumn id="3" xr3:uid="{00000000-0010-0000-0600-000003000000}" name="VALIDADE" dataDxfId="173"/>
    <tableColumn id="4" xr3:uid="{00000000-0010-0000-0600-000004000000}" name="FORMA PG"/>
    <tableColumn id="8" xr3:uid="{00000000-0010-0000-0600-000008000000}" name="CORRETORA"/>
    <tableColumn id="6" xr3:uid="{00000000-0010-0000-0600-000006000000}" name="LOCAL DEBITO"/>
    <tableColumn id="7" xr3:uid="{00000000-0010-0000-0600-000007000000}" name="SEGURADORA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Tabela404657769411213014816639101742" displayName="Tabela404657769411213014816639101742" ref="K2:AA19" totalsRowShown="0" tableBorderDxfId="172">
  <autoFilter ref="K2:AA19" xr:uid="{00000000-0009-0000-0100-000001000000}"/>
  <tableColumns count="17">
    <tableColumn id="1" xr3:uid="{00000000-0010-0000-0700-000001000000}" name="FROTA"/>
    <tableColumn id="2" xr3:uid="{00000000-0010-0000-0700-000002000000}" name="LEANDRO TR"/>
    <tableColumn id="3" xr3:uid="{00000000-0010-0000-0700-000003000000}" name="ROSELI"/>
    <tableColumn id="4" xr3:uid="{00000000-0010-0000-0700-000004000000}" name="ALEXSANDRO"/>
    <tableColumn id="5" xr3:uid="{00000000-0010-0000-0700-000005000000}" name="JESSICA"/>
    <tableColumn id="6" xr3:uid="{00000000-0010-0000-0700-000006000000}" name="CARLA"/>
    <tableColumn id="7" xr3:uid="{00000000-0010-0000-0700-000007000000}" name="LEONARDO"/>
    <tableColumn id="8" xr3:uid="{00000000-0010-0000-0700-000008000000}" name="CLAUDEIR"/>
    <tableColumn id="9" xr3:uid="{00000000-0010-0000-0700-000009000000}" name="LEANDRO SP"/>
    <tableColumn id="10" xr3:uid="{00000000-0010-0000-0700-00000A000000}" name="ADM"/>
    <tableColumn id="11" xr3:uid="{00000000-0010-0000-0700-00000B000000}" name="MOTTA"/>
    <tableColumn id="13" xr3:uid="{00000000-0010-0000-0700-00000D000000}" name="ALECIO"/>
    <tableColumn id="16" xr3:uid="{00000000-0010-0000-0700-000010000000}" name="MATHEUS" dataDxfId="171" dataCellStyle="Moeda"/>
    <tableColumn id="17" xr3:uid="{00000000-0010-0000-0700-000011000000}" name="VITOR" dataDxfId="170"/>
    <tableColumn id="12" xr3:uid="{00000000-0010-0000-0700-00000C000000}" name="MURILO"/>
    <tableColumn id="14" xr3:uid="{00000000-0010-0000-0700-00000E000000}" name="PAULO"/>
    <tableColumn id="15" xr3:uid="{00000000-0010-0000-0700-00000F000000}" name="TOTAL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8000000}" name="Tabela1411114222940424961779511313114916745104753" displayName="Tabela1411114222940424961779511313114916745104753" ref="A358:G377" totalsRowShown="0" headerRowDxfId="169" tableBorderDxfId="168" headerRowCellStyle="Moeda">
  <autoFilter ref="A358:G377" xr:uid="{00000000-0009-0000-0100-000002000000}"/>
  <tableColumns count="7">
    <tableColumn id="1" xr3:uid="{00000000-0010-0000-0800-000001000000}" name="DESCRIÇÃO" dataDxfId="167"/>
    <tableColumn id="2" xr3:uid="{00000000-0010-0000-0800-000002000000}" name="DEPARTAMENTO" dataDxfId="166" dataCellStyle="Moeda"/>
    <tableColumn id="6" xr3:uid="{00000000-0010-0000-0800-000006000000}" name="VALOR" dataDxfId="165" dataCellStyle="Vírgula"/>
    <tableColumn id="7" xr3:uid="{00000000-0010-0000-0800-000007000000}" name="PAGOS" dataDxfId="164" dataCellStyle="Moeda"/>
    <tableColumn id="8" xr3:uid="{00000000-0010-0000-0800-000008000000}" name="SOLICITADO" dataDxfId="163" dataCellStyle="Moeda"/>
    <tableColumn id="3" xr3:uid="{00000000-0010-0000-0800-000003000000}" name="VENCIMENTO" dataDxfId="162" dataCellStyle="Moeda"/>
    <tableColumn id="4" xr3:uid="{00000000-0010-0000-0800-000004000000}" name="DATA PG" dataDxfId="161" dataCellStyle="Moeda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9000000}" name="Tabela141111422294464809811613415216956111794" displayName="Tabela141111422294464809811613415216956111794" ref="A2:H298" totalsRowShown="0" headerRowDxfId="160" tableBorderDxfId="159" headerRowCellStyle="Moeda">
  <autoFilter ref="A2:H298" xr:uid="{00000000-0009-0000-0100-000003000000}"/>
  <sortState ref="A3:H298">
    <sortCondition ref="H2:H298"/>
  </sortState>
  <tableColumns count="8">
    <tableColumn id="1" xr3:uid="{00000000-0010-0000-0900-000001000000}" name="DESCRIÇÃO" dataDxfId="158"/>
    <tableColumn id="2" xr3:uid="{00000000-0010-0000-0900-000002000000}" name="TIPO DE DESPESA" dataDxfId="157" dataCellStyle="Moeda"/>
    <tableColumn id="5" xr3:uid="{00000000-0010-0000-0900-000005000000}" name="ESC / SETOR" dataDxfId="156" dataCellStyle="Moeda"/>
    <tableColumn id="6" xr3:uid="{00000000-0010-0000-0900-000006000000}" name="VALOR" dataDxfId="155" dataCellStyle="Vírgula"/>
    <tableColumn id="7" xr3:uid="{00000000-0010-0000-0900-000007000000}" name="PAGOS" dataDxfId="154" dataCellStyle="Moeda"/>
    <tableColumn id="8" xr3:uid="{00000000-0010-0000-0900-000008000000}" name="SOLICITADO" dataDxfId="153" dataCellStyle="Moeda"/>
    <tableColumn id="3" xr3:uid="{00000000-0010-0000-0900-000003000000}" name="DIA DE VENC." dataDxfId="152" dataCellStyle="Moeda"/>
    <tableColumn id="4" xr3:uid="{00000000-0010-0000-0900-000004000000}" name="DATA PG" dataDxfId="151" dataCellStyle="Moeda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A000000}" name="Tabela14111142229354765819911713515317062115835" displayName="Tabela14111142229354765819911713515317062115835" ref="A301:H314" totalsRowShown="0" headerRowDxfId="150" tableBorderDxfId="149" headerRowCellStyle="Moeda">
  <autoFilter ref="A301:H314" xr:uid="{00000000-0009-0000-0100-000004000000}"/>
  <tableColumns count="8">
    <tableColumn id="1" xr3:uid="{00000000-0010-0000-0A00-000001000000}" name="   " dataDxfId="148"/>
    <tableColumn id="2" xr3:uid="{00000000-0010-0000-0A00-000002000000}" name="TIPO DE DESPESA" dataDxfId="147" dataCellStyle="Moeda"/>
    <tableColumn id="5" xr3:uid="{00000000-0010-0000-0A00-000005000000}" name="UNIDADE" dataDxfId="146" dataCellStyle="Moeda"/>
    <tableColumn id="6" xr3:uid="{00000000-0010-0000-0A00-000006000000}" name="VALOR" dataDxfId="145" dataCellStyle="Vírgula"/>
    <tableColumn id="7" xr3:uid="{00000000-0010-0000-0A00-000007000000}" name="PAGOS" dataDxfId="144" dataCellStyle="Moeda"/>
    <tableColumn id="8" xr3:uid="{00000000-0010-0000-0A00-000008000000}" name="SOLICITADOS" dataDxfId="143" dataCellStyle="Moeda"/>
    <tableColumn id="3" xr3:uid="{00000000-0010-0000-0A00-000003000000}" name="VENCIMENTO" dataDxfId="142" dataCellStyle="Moeda"/>
    <tableColumn id="4" xr3:uid="{00000000-0010-0000-0A00-000004000000}" name="DATA PG" dataDxfId="141" dataCellStyle="Moeda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B000000}" name="Tabela141111422294048668210011813615417171119846" displayName="Tabela141111422294048668210011813615417171119846" ref="A317:G355" totalsRowShown="0" headerRowDxfId="140" tableBorderDxfId="139" headerRowCellStyle="Moeda">
  <autoFilter ref="A317:G355" xr:uid="{00000000-0009-0000-0100-000005000000}"/>
  <tableColumns count="7">
    <tableColumn id="1" xr3:uid="{00000000-0010-0000-0B00-000001000000}" name="DESCRIÇÃO" dataDxfId="138"/>
    <tableColumn id="2" xr3:uid="{00000000-0010-0000-0B00-000002000000}" name="DEPARTAMENTO" dataDxfId="137" dataCellStyle="Moeda"/>
    <tableColumn id="6" xr3:uid="{00000000-0010-0000-0B00-000006000000}" name="VALOR" dataDxfId="136" dataCellStyle="Vírgula"/>
    <tableColumn id="7" xr3:uid="{00000000-0010-0000-0B00-000007000000}" name="PAGOS" dataDxfId="135" dataCellStyle="Moeda"/>
    <tableColumn id="8" xr3:uid="{00000000-0010-0000-0B00-000008000000}" name="SOLICITADO" dataDxfId="134" dataCellStyle="Moeda"/>
    <tableColumn id="3" xr3:uid="{00000000-0010-0000-0B00-000003000000}" name="VENCIMENTO" dataDxfId="133" dataCellStyle="Moeda"/>
    <tableColumn id="4" xr3:uid="{00000000-0010-0000-0B00-000004000000}" name="DATA PG" dataDxfId="132" dataCellStyle="Moeda"/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C000000}" name="Tabela919310312013815617372121927" displayName="Tabela919310312013815617372121927" ref="K43:T61" totalsRowShown="0">
  <autoFilter ref="K43:T61" xr:uid="{00000000-0009-0000-0100-000006000000}"/>
  <tableColumns count="10">
    <tableColumn id="1" xr3:uid="{00000000-0010-0000-0C00-000001000000}" name="DESPESAS"/>
    <tableColumn id="2" xr3:uid="{00000000-0010-0000-0C00-000002000000}" name="TERRA RICA" dataCellStyle="Moeda"/>
    <tableColumn id="3" xr3:uid="{00000000-0010-0000-0C00-000003000000}" name="PRIMAVERA" dataCellStyle="Moeda"/>
    <tableColumn id="4" xr3:uid="{00000000-0010-0000-0C00-000004000000}" name="TEODORO" dataCellStyle="Moeda"/>
    <tableColumn id="5" xr3:uid="{00000000-0010-0000-0C00-000005000000}" name="VENCESLAU" dataCellStyle="Moeda"/>
    <tableColumn id="6" xr3:uid="{00000000-0010-0000-0C00-000006000000}" name="IVINHEMA" dataCellStyle="Moeda"/>
    <tableColumn id="10" xr3:uid="{00000000-0010-0000-0C00-00000A000000}" name="RPV/ PRECATORIO" dataDxfId="131" dataCellStyle="Moeda"/>
    <tableColumn id="7" xr3:uid="{00000000-0010-0000-0C00-000007000000}" name="ADMNISTRATIVO" dataCellStyle="Moeda"/>
    <tableColumn id="8" xr3:uid="{00000000-0010-0000-0C00-000008000000}" name="CAMPO" dataCellStyle="Moeda"/>
    <tableColumn id="9" xr3:uid="{00000000-0010-0000-0C00-000009000000}" name="GERAL" dataCellStyle="Moeda"/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ela3663789611413215817573129978" displayName="Tabela3663789611413215817573129978" ref="K22:R36" totalsRowShown="0" tableBorderDxfId="130">
  <autoFilter ref="K22:R36" xr:uid="{00000000-0009-0000-0100-000007000000}"/>
  <tableColumns count="8">
    <tableColumn id="1" xr3:uid="{00000000-0010-0000-0D00-000001000000}" name="FROTA"/>
    <tableColumn id="5" xr3:uid="{00000000-0010-0000-0D00-000005000000}" name="PROPRIETARIO"/>
    <tableColumn id="2" xr3:uid="{00000000-0010-0000-0D00-000002000000}" name="VALOR" dataCellStyle="Moeda"/>
    <tableColumn id="3" xr3:uid="{00000000-0010-0000-0D00-000003000000}" name="VALIDADE" dataDxfId="129"/>
    <tableColumn id="4" xr3:uid="{00000000-0010-0000-0D00-000004000000}" name="FORMA PG"/>
    <tableColumn id="8" xr3:uid="{00000000-0010-0000-0D00-000008000000}" name="CORRETORA"/>
    <tableColumn id="6" xr3:uid="{00000000-0010-0000-0D00-000006000000}" name="LOCAL DEBITO"/>
    <tableColumn id="7" xr3:uid="{00000000-0010-0000-0D00-000007000000}" name="SEGURADORA"/>
  </tableColumns>
  <tableStyleInfo name="TableStyleMedium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E000000}" name="Tabela4046577694112130148166391017429" displayName="Tabela4046577694112130148166391017429" ref="K2:Z19" totalsRowShown="0" tableBorderDxfId="128">
  <autoFilter ref="K2:Z19" xr:uid="{00000000-0009-0000-0100-000008000000}"/>
  <tableColumns count="16">
    <tableColumn id="1" xr3:uid="{00000000-0010-0000-0E00-000001000000}" name="FROTA"/>
    <tableColumn id="2" xr3:uid="{00000000-0010-0000-0E00-000002000000}" name="LEANDRO TR"/>
    <tableColumn id="3" xr3:uid="{00000000-0010-0000-0E00-000003000000}" name="ROSELI"/>
    <tableColumn id="4" xr3:uid="{00000000-0010-0000-0E00-000004000000}" name="ALEXSANDRO"/>
    <tableColumn id="5" xr3:uid="{00000000-0010-0000-0E00-000005000000}" name="JESSICA"/>
    <tableColumn id="6" xr3:uid="{00000000-0010-0000-0E00-000006000000}" name="CARLA"/>
    <tableColumn id="7" xr3:uid="{00000000-0010-0000-0E00-000007000000}" name="LEONARDO"/>
    <tableColumn id="8" xr3:uid="{00000000-0010-0000-0E00-000008000000}" name="CLAUDEIR"/>
    <tableColumn id="9" xr3:uid="{00000000-0010-0000-0E00-000009000000}" name="LEANDRO SP"/>
    <tableColumn id="10" xr3:uid="{00000000-0010-0000-0E00-00000A000000}" name="ADM"/>
    <tableColumn id="11" xr3:uid="{00000000-0010-0000-0E00-00000B000000}" name="MOTTA"/>
    <tableColumn id="13" xr3:uid="{00000000-0010-0000-0E00-00000D000000}" name="ALECIO"/>
    <tableColumn id="16" xr3:uid="{00000000-0010-0000-0E00-000010000000}" name="MATHEUS" dataDxfId="127" dataCellStyle="Moeda"/>
    <tableColumn id="12" xr3:uid="{00000000-0010-0000-0E00-00000C000000}" name="MURILO"/>
    <tableColumn id="14" xr3:uid="{00000000-0010-0000-0E00-00000E000000}" name="PAULO"/>
    <tableColumn id="15" xr3:uid="{00000000-0010-0000-0E00-00000F000000}" name="TOTAL"/>
  </tableColumns>
  <tableStyleInfo name="TableStyleMedium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F000000}" name="Tabela141111422294042496177951131311491674510475310" displayName="Tabela141111422294042496177951131311491674510475310" ref="A395:G414" totalsRowShown="0" headerRowDxfId="126" tableBorderDxfId="125" headerRowCellStyle="Moeda">
  <autoFilter ref="A395:G414" xr:uid="{00000000-0009-0000-0100-000009000000}"/>
  <tableColumns count="7">
    <tableColumn id="1" xr3:uid="{00000000-0010-0000-0F00-000001000000}" name="DESCRIÇÃO" dataDxfId="124"/>
    <tableColumn id="2" xr3:uid="{00000000-0010-0000-0F00-000002000000}" name="DEPARTAMENTO" dataDxfId="123" dataCellStyle="Moeda"/>
    <tableColumn id="6" xr3:uid="{00000000-0010-0000-0F00-000006000000}" name="VALOR" dataDxfId="122" dataCellStyle="Vírgula"/>
    <tableColumn id="7" xr3:uid="{00000000-0010-0000-0F00-000007000000}" name="PAGOS" dataDxfId="121" dataCellStyle="Moeda"/>
    <tableColumn id="8" xr3:uid="{00000000-0010-0000-0F00-000008000000}" name="SOLICITADO" dataDxfId="120" dataCellStyle="Moeda"/>
    <tableColumn id="3" xr3:uid="{00000000-0010-0000-0F00-000003000000}" name="VENCIMENTO" dataDxfId="119" dataCellStyle="Moeda"/>
    <tableColumn id="4" xr3:uid="{00000000-0010-0000-0F00-000004000000}" name="DATA PG" dataDxfId="118" dataCellStyle="Moeda"/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0000000}" name="Tabela14111142229446480981161341521695611179411" displayName="Tabela14111142229446480981161341521695611179411" ref="A2:H333" totalsRowShown="0" headerRowDxfId="117" tableBorderDxfId="116" headerRowCellStyle="Moeda">
  <autoFilter ref="A2:H333" xr:uid="{00000000-0009-0000-0100-00000A000000}"/>
  <sortState ref="A3:H333">
    <sortCondition ref="H2:H330"/>
  </sortState>
  <tableColumns count="8">
    <tableColumn id="1" xr3:uid="{00000000-0010-0000-1000-000001000000}" name="DESCRIÇÃO" dataDxfId="115"/>
    <tableColumn id="2" xr3:uid="{00000000-0010-0000-1000-000002000000}" name="TIPO DE DESPESA" dataDxfId="114" dataCellStyle="Moeda"/>
    <tableColumn id="5" xr3:uid="{00000000-0010-0000-1000-000005000000}" name="ESC / SETOR" dataDxfId="113" dataCellStyle="Moeda"/>
    <tableColumn id="6" xr3:uid="{00000000-0010-0000-1000-000006000000}" name="VALOR" dataDxfId="112" dataCellStyle="Vírgula"/>
    <tableColumn id="7" xr3:uid="{00000000-0010-0000-1000-000007000000}" name="PAGOS" dataDxfId="111" dataCellStyle="Moeda"/>
    <tableColumn id="8" xr3:uid="{00000000-0010-0000-1000-000008000000}" name="SOLICITADO" dataDxfId="110" dataCellStyle="Moeda"/>
    <tableColumn id="3" xr3:uid="{00000000-0010-0000-1000-000003000000}" name="DIA DE VENC." dataDxfId="109" dataCellStyle="Moeda"/>
    <tableColumn id="4" xr3:uid="{00000000-0010-0000-1000-000004000000}" name="DATA PG" dataDxfId="108" dataCellStyle="Moeda"/>
  </tableColumns>
  <tableStyleInfo name="TableStyleMedium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1000000}" name="Tabela1411114222935476581991171351531706211583512" displayName="Tabela1411114222935476581991171351531706211583512" ref="A336:H350" totalsRowShown="0" headerRowDxfId="107" tableBorderDxfId="106" headerRowCellStyle="Moeda">
  <autoFilter ref="A336:H350" xr:uid="{00000000-0009-0000-0100-00000B000000}"/>
  <tableColumns count="8">
    <tableColumn id="1" xr3:uid="{00000000-0010-0000-1100-000001000000}" name="   " dataDxfId="105"/>
    <tableColumn id="2" xr3:uid="{00000000-0010-0000-1100-000002000000}" name="TIPO DE DESPESA" dataDxfId="104" dataCellStyle="Moeda"/>
    <tableColumn id="5" xr3:uid="{00000000-0010-0000-1100-000005000000}" name="UNIDADE" dataDxfId="103" dataCellStyle="Moeda"/>
    <tableColumn id="6" xr3:uid="{00000000-0010-0000-1100-000006000000}" name="VALOR" dataDxfId="102" dataCellStyle="Vírgula"/>
    <tableColumn id="7" xr3:uid="{00000000-0010-0000-1100-000007000000}" name="PAGOS" dataDxfId="101" dataCellStyle="Moeda"/>
    <tableColumn id="8" xr3:uid="{00000000-0010-0000-1100-000008000000}" name="SOLICITADOS" dataDxfId="100" dataCellStyle="Moeda"/>
    <tableColumn id="3" xr3:uid="{00000000-0010-0000-1100-000003000000}" name="VENCIMENTO" dataDxfId="99" dataCellStyle="Moeda"/>
    <tableColumn id="4" xr3:uid="{00000000-0010-0000-1100-000004000000}" name="DATA PG" dataDxfId="98" dataCellStyle="Moeda"/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2000000}" name="Tabela14111142229404866821001181361541717111984613" displayName="Tabela14111142229404866821001181361541717111984613" ref="A353:G392" totalsRowShown="0" headerRowDxfId="97" tableBorderDxfId="96" headerRowCellStyle="Moeda">
  <autoFilter ref="A353:G392" xr:uid="{00000000-0009-0000-0100-00000C000000}"/>
  <tableColumns count="7">
    <tableColumn id="1" xr3:uid="{00000000-0010-0000-1200-000001000000}" name="DESCRIÇÃO" dataDxfId="95"/>
    <tableColumn id="2" xr3:uid="{00000000-0010-0000-1200-000002000000}" name="DEPARTAMENTO" dataDxfId="94" dataCellStyle="Moeda"/>
    <tableColumn id="6" xr3:uid="{00000000-0010-0000-1200-000006000000}" name="VALOR" dataDxfId="93" dataCellStyle="Vírgula"/>
    <tableColumn id="7" xr3:uid="{00000000-0010-0000-1200-000007000000}" name="PAGOS" dataDxfId="92" dataCellStyle="Moeda"/>
    <tableColumn id="8" xr3:uid="{00000000-0010-0000-1200-000008000000}" name="SOLICITADO" dataDxfId="91" dataCellStyle="Moeda"/>
    <tableColumn id="3" xr3:uid="{00000000-0010-0000-1200-000003000000}" name="VENCIMENTO" dataDxfId="90" dataCellStyle="Moeda"/>
    <tableColumn id="4" xr3:uid="{00000000-0010-0000-1200-000004000000}" name="DATA PG" dataDxfId="89" dataCellStyle="Moeda"/>
  </tableColumns>
  <tableStyleInfo name="TableStyleMedium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3000000}" name="Tabela91931031201381561737212192714" displayName="Tabela91931031201381561737212192714" ref="K43:T61" totalsRowShown="0">
  <autoFilter ref="K43:T61" xr:uid="{00000000-0009-0000-0100-00000D000000}"/>
  <tableColumns count="10">
    <tableColumn id="1" xr3:uid="{00000000-0010-0000-1300-000001000000}" name="DESPESAS"/>
    <tableColumn id="2" xr3:uid="{00000000-0010-0000-1300-000002000000}" name="TERRA RICA" dataCellStyle="Moeda"/>
    <tableColumn id="3" xr3:uid="{00000000-0010-0000-1300-000003000000}" name="PRIMAVERA" dataCellStyle="Moeda"/>
    <tableColumn id="4" xr3:uid="{00000000-0010-0000-1300-000004000000}" name="TEODORO" dataCellStyle="Moeda"/>
    <tableColumn id="5" xr3:uid="{00000000-0010-0000-1300-000005000000}" name="VENCESLAU" dataCellStyle="Moeda"/>
    <tableColumn id="6" xr3:uid="{00000000-0010-0000-1300-000006000000}" name="IVINHEMA" dataCellStyle="Moeda"/>
    <tableColumn id="10" xr3:uid="{00000000-0010-0000-1300-00000A000000}" name="RPV/ PRECATORIO" dataDxfId="88" dataCellStyle="Moeda"/>
    <tableColumn id="7" xr3:uid="{00000000-0010-0000-1300-000007000000}" name="ADMNISTRATIVO" dataCellStyle="Moeda"/>
    <tableColumn id="8" xr3:uid="{00000000-0010-0000-1300-000008000000}" name="CAMPO" dataCellStyle="Moeda"/>
    <tableColumn id="9" xr3:uid="{00000000-0010-0000-1300-000009000000}" name="GERAL" dataCellStyle="Moeda"/>
  </tableColumns>
  <tableStyleInfo name="TableStyleMedium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4000000}" name="Tabela366378961141321581757312997815" displayName="Tabela366378961141321581757312997815" ref="K22:R36" totalsRowShown="0" tableBorderDxfId="87">
  <autoFilter ref="K22:R36" xr:uid="{00000000-0009-0000-0100-00000E000000}"/>
  <tableColumns count="8">
    <tableColumn id="1" xr3:uid="{00000000-0010-0000-1400-000001000000}" name="FROTA"/>
    <tableColumn id="5" xr3:uid="{00000000-0010-0000-1400-000005000000}" name="PROPRIETARIO"/>
    <tableColumn id="2" xr3:uid="{00000000-0010-0000-1400-000002000000}" name="VALOR" dataCellStyle="Moeda"/>
    <tableColumn id="3" xr3:uid="{00000000-0010-0000-1400-000003000000}" name="VALIDADE" dataDxfId="86"/>
    <tableColumn id="4" xr3:uid="{00000000-0010-0000-1400-000004000000}" name="FORMA PG"/>
    <tableColumn id="8" xr3:uid="{00000000-0010-0000-1400-000008000000}" name="CORRETORA"/>
    <tableColumn id="6" xr3:uid="{00000000-0010-0000-1400-000006000000}" name="LOCAL DEBITO"/>
    <tableColumn id="7" xr3:uid="{00000000-0010-0000-1400-000007000000}" name="SEGURADORA"/>
  </tableColumns>
  <tableStyleInfo name="TableStyleMedium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760A181-4216-48E9-9277-9C7EF2A53283}" name="Tabela404657769411213014816639101742916" displayName="Tabela404657769411213014816639101742916" ref="K2:Z19" totalsRowShown="0" tableBorderDxfId="85">
  <autoFilter ref="K2:Z19" xr:uid="{00000000-0009-0000-0100-000008000000}"/>
  <tableColumns count="16">
    <tableColumn id="1" xr3:uid="{9E080DFA-55F7-4FCD-A6F4-053A46C1042B}" name="FROTA"/>
    <tableColumn id="2" xr3:uid="{87546ED8-2DCB-4160-9591-381E0094AFBB}" name="LEANDRO TR"/>
    <tableColumn id="3" xr3:uid="{42284C01-7440-4792-87AF-22D09F5942BA}" name="ROSELI"/>
    <tableColumn id="4" xr3:uid="{EC08D045-6098-4174-A7ED-24DDD8849255}" name="ALEXSANDRO"/>
    <tableColumn id="5" xr3:uid="{A1C7B16B-1464-4C65-8F8A-1904361F9CB2}" name="JESSICA"/>
    <tableColumn id="6" xr3:uid="{9B1D6B3D-4023-4CAA-91A8-D959421D31DE}" name="CARLA"/>
    <tableColumn id="7" xr3:uid="{72A1D8D1-AC27-4D11-AE97-3905E31221C4}" name="LEONARDO"/>
    <tableColumn id="8" xr3:uid="{E27E4369-3190-4B32-842C-121112717F6F}" name="CLAUDEIR"/>
    <tableColumn id="9" xr3:uid="{46E022A8-7AA2-4439-A48E-5EC27DD842EA}" name="LEANDRO SP"/>
    <tableColumn id="10" xr3:uid="{6A24C9B9-4D65-4A9C-83F6-8E3107E70562}" name="ADM"/>
    <tableColumn id="11" xr3:uid="{C5DDE834-8EEE-4EE0-8740-6AB09C64F4C8}" name="MOTTA"/>
    <tableColumn id="13" xr3:uid="{02341D72-E542-4A67-9E9A-EE3D31B0F313}" name="ALECIO"/>
    <tableColumn id="16" xr3:uid="{5082D081-939C-4013-B655-B474C41EFD53}" name="MATHEUS" dataDxfId="84" dataCellStyle="Moeda"/>
    <tableColumn id="12" xr3:uid="{9185FC0E-6B21-4603-9EA3-BAB66EE9AFE0}" name="MURILO"/>
    <tableColumn id="14" xr3:uid="{6BB0E92C-29BB-442C-B5B4-C5AA0A7A1E6F}" name="PAULO"/>
    <tableColumn id="15" xr3:uid="{1F59A193-602F-4693-807C-40F0FD13DBC9}" name="TOTAL"/>
  </tableColumns>
  <tableStyleInfo name="TableStyleMedium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CB62A6-8A64-4C93-90F1-CE16C329742D}" name="Tabela14111142229404249617795113131149167451047531017" displayName="Tabela14111142229404249617795113131149167451047531017" ref="A374:G393" totalsRowShown="0" headerRowDxfId="83" tableBorderDxfId="82" headerRowCellStyle="Moeda">
  <autoFilter ref="A374:G393" xr:uid="{00000000-0009-0000-0100-000009000000}"/>
  <tableColumns count="7">
    <tableColumn id="1" xr3:uid="{EDE681A3-658E-4F41-835C-7C342530A133}" name="DESCRIÇÃO" dataDxfId="81"/>
    <tableColumn id="2" xr3:uid="{5B6FFDA5-65D1-4164-B1FA-86F7CABB93AD}" name="DEPARTAMENTO" dataDxfId="80" dataCellStyle="Moeda"/>
    <tableColumn id="6" xr3:uid="{AB568841-97B0-4D8F-A37A-E9A4214A80AC}" name="VALOR" dataDxfId="79" dataCellStyle="Vírgula"/>
    <tableColumn id="7" xr3:uid="{FD756AD3-03EE-48A9-9CBC-1E644BBD7CB1}" name="PAGOS" dataDxfId="78" dataCellStyle="Moeda"/>
    <tableColumn id="8" xr3:uid="{961295D5-7EA5-4679-9098-112D6BFB7FFF}" name="SOLICITADO" dataDxfId="77" dataCellStyle="Moeda"/>
    <tableColumn id="3" xr3:uid="{6356EC98-2893-4AE6-A543-DD853DE5CC0E}" name="VENCIMENTO" dataDxfId="76" dataCellStyle="Moeda"/>
    <tableColumn id="4" xr3:uid="{9624BD96-C437-49ED-B53D-8D6AE4F90595}" name="DATA PG" dataDxfId="75" dataCellStyle="Moeda"/>
  </tableColumns>
  <tableStyleInfo name="TableStyleMedium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9BC7134-90C0-474D-95DE-B0A61B90441C}" name="Tabela1411114222944648098116134152169561117941118" displayName="Tabela1411114222944648098116134152169561117941118" ref="A2:H312" totalsRowShown="0" headerRowDxfId="74" tableBorderDxfId="73" headerRowCellStyle="Moeda">
  <autoFilter ref="A2:H312" xr:uid="{00000000-0009-0000-0100-00000A000000}"/>
  <sortState ref="A3:H312">
    <sortCondition ref="H2:H309"/>
  </sortState>
  <tableColumns count="8">
    <tableColumn id="1" xr3:uid="{DFAC6F4F-7301-4285-9A83-DAA3A3C813DB}" name="DESCRIÇÃO" dataDxfId="72"/>
    <tableColumn id="2" xr3:uid="{BFC63AEC-C465-4BC8-86F1-88CBF3D6A607}" name="TIPO DE DESPESA" dataDxfId="71" dataCellStyle="Moeda"/>
    <tableColumn id="5" xr3:uid="{5F76DA9A-CC63-4F26-ADE0-5DE9F594FDCD}" name="ESC / SETOR" dataDxfId="70" dataCellStyle="Moeda"/>
    <tableColumn id="6" xr3:uid="{D5077EC6-D0E0-4516-8ABE-FBFB9C79D5FD}" name="VALOR" dataDxfId="69" dataCellStyle="Vírgula"/>
    <tableColumn id="7" xr3:uid="{1B3E96B8-071B-43DF-AD8C-AD9E19BD6ED9}" name="PAGOS" dataDxfId="68" dataCellStyle="Moeda"/>
    <tableColumn id="8" xr3:uid="{2A735A10-FCD4-4ED5-875E-A2FD1D4C6F7E}" name="SOLICITADO" dataDxfId="67" dataCellStyle="Moeda"/>
    <tableColumn id="3" xr3:uid="{19096A80-BA84-4F31-A31F-3C4606D49BAF}" name="DIA DE VENC." dataDxfId="66" dataCellStyle="Moeda"/>
    <tableColumn id="4" xr3:uid="{7E77AFBC-1E67-49EF-8946-36C007C77139}" name="DATA PG" dataDxfId="65" dataCellStyle="Moeda"/>
  </tableColumns>
  <tableStyleInfo name="TableStyleMedium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2FC8F1C-9414-4B29-BB20-2322130FF3DC}" name="Tabela141111422293547658199117135153170621158351219" displayName="Tabela141111422293547658199117135153170621158351219" ref="A315:H329" totalsRowShown="0" headerRowDxfId="64" tableBorderDxfId="63" headerRowCellStyle="Moeda">
  <autoFilter ref="A315:H329" xr:uid="{00000000-0009-0000-0100-00000B000000}"/>
  <tableColumns count="8">
    <tableColumn id="1" xr3:uid="{C297B7A7-9F0E-436B-8818-F707B190DCB0}" name="   " dataDxfId="62"/>
    <tableColumn id="2" xr3:uid="{5649C35B-48F1-49F0-A455-0EF2C19D7FA8}" name="TIPO DE DESPESA" dataDxfId="61" dataCellStyle="Moeda"/>
    <tableColumn id="5" xr3:uid="{4217CF7A-DF87-46BB-9966-A20F99197921}" name="UNIDADE" dataDxfId="60" dataCellStyle="Moeda"/>
    <tableColumn id="6" xr3:uid="{B853B20B-BC19-47C9-AB02-9EA971E17BA3}" name="VALOR" dataDxfId="59" dataCellStyle="Vírgula"/>
    <tableColumn id="7" xr3:uid="{674B1496-680B-44E9-BCC9-55679C2B02DF}" name="PAGOS" dataDxfId="58" dataCellStyle="Moeda"/>
    <tableColumn id="8" xr3:uid="{CEACBA51-B4B8-4D3F-A652-D77809893D3F}" name="SOLICITADOS" dataDxfId="57" dataCellStyle="Moeda"/>
    <tableColumn id="3" xr3:uid="{E33C85E9-B9A6-4E7A-9749-B30DA4BF7E42}" name="VENCIMENTO" dataDxfId="56" dataCellStyle="Moeda"/>
    <tableColumn id="4" xr3:uid="{F2EEAE40-E94E-492F-8222-0D05D6C8E171}" name="DATA PG" dataDxfId="55" dataCellStyle="Moeda"/>
  </tableColumns>
  <tableStyleInfo name="TableStyleMedium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2899767-C942-4551-B3BA-3A862A06A511}" name="Tabela1411114222940486682100118136154171711198461320" displayName="Tabela1411114222940486682100118136154171711198461320" ref="A332:G371" totalsRowShown="0" headerRowDxfId="54" tableBorderDxfId="53" headerRowCellStyle="Moeda">
  <autoFilter ref="A332:G371" xr:uid="{00000000-0009-0000-0100-00000C000000}"/>
  <tableColumns count="7">
    <tableColumn id="1" xr3:uid="{BD7B7EE0-5A32-4623-AD84-D85524FFC61D}" name="DESCRIÇÃO" dataDxfId="52"/>
    <tableColumn id="2" xr3:uid="{3D9A7409-066B-46E8-820C-C189B890F6DB}" name="DEPARTAMENTO" dataDxfId="51" dataCellStyle="Moeda"/>
    <tableColumn id="6" xr3:uid="{571FFE63-635C-46A4-98D2-E35C22D1D894}" name="VALOR" dataDxfId="50" dataCellStyle="Vírgula"/>
    <tableColumn id="7" xr3:uid="{9FD95A7E-A773-44AE-80D5-B7976C33C28F}" name="PAGOS" dataDxfId="49" dataCellStyle="Moeda"/>
    <tableColumn id="8" xr3:uid="{A247AFB6-8969-497A-80F4-1809514E51A0}" name="SOLICITADO" dataDxfId="48" dataCellStyle="Moeda"/>
    <tableColumn id="3" xr3:uid="{11B1BEB3-CBAC-4E87-A949-5F74BE6E3E66}" name="VENCIMENTO" dataDxfId="47" dataCellStyle="Moeda"/>
    <tableColumn id="4" xr3:uid="{F7F2B320-B626-4370-A826-9BF3476B5678}" name="DATA PG" dataDxfId="46" dataCellStyle="Moeda"/>
  </tableColumns>
  <tableStyleInfo name="TableStyleMedium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7B43B4D-5BF8-4290-9F49-8E571C258B87}" name="Tabela9193103120138156173721219271421" displayName="Tabela9193103120138156173721219271421" ref="K43:T61" totalsRowShown="0">
  <autoFilter ref="K43:T61" xr:uid="{00000000-0009-0000-0100-00000D000000}"/>
  <tableColumns count="10">
    <tableColumn id="1" xr3:uid="{0EBC8E34-E892-4BB0-A888-B74A8FEEC2A8}" name="DESPESAS"/>
    <tableColumn id="2" xr3:uid="{96D4C71F-093A-4423-9EE3-782B99F98670}" name="TERRA RICA" dataCellStyle="Moeda"/>
    <tableColumn id="3" xr3:uid="{7E03B720-DD32-479D-AC8D-3B9F6F8D4312}" name="PRIMAVERA" dataCellStyle="Moeda"/>
    <tableColumn id="4" xr3:uid="{B780CDA3-A7D8-4BA6-B90F-B32E8661EF53}" name="TEODORO" dataCellStyle="Moeda"/>
    <tableColumn id="5" xr3:uid="{F7A746A6-44BA-4148-9671-38CDD2680EFB}" name="VENCESLAU" dataCellStyle="Moeda"/>
    <tableColumn id="6" xr3:uid="{E9CCB386-E979-48BB-A24F-4FDDED750AF7}" name="IVINHEMA" dataCellStyle="Moeda"/>
    <tableColumn id="10" xr3:uid="{F8984CD2-FC3F-4674-B783-771C5A27DB23}" name="RPV/ PRECATORIO" dataDxfId="45" dataCellStyle="Moeda"/>
    <tableColumn id="7" xr3:uid="{4C18670E-2776-490A-8C9A-F018064BC2C3}" name="ADMNISTRATIVO" dataCellStyle="Moeda"/>
    <tableColumn id="8" xr3:uid="{303E9E36-6A74-482C-A58F-6FDF6465C5F4}" name="CAMPO" dataCellStyle="Moeda"/>
    <tableColumn id="9" xr3:uid="{20F6784A-59CF-4ACE-9C8B-BE47AAAF4FB6}" name="GERAL" dataCellStyle="Moeda"/>
  </tableColumns>
  <tableStyleInfo name="TableStyleMedium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A52B0D9-812D-4CB9-9122-05354D03C082}" name="Tabela36637896114132158175731299781522" displayName="Tabela36637896114132158175731299781522" ref="K22:R36" totalsRowShown="0" tableBorderDxfId="44">
  <autoFilter ref="K22:R36" xr:uid="{00000000-0009-0000-0100-00000E000000}"/>
  <tableColumns count="8">
    <tableColumn id="1" xr3:uid="{D683E0EE-CC52-49E6-97B9-40AE1AFE12A8}" name="FROTA"/>
    <tableColumn id="5" xr3:uid="{2D1F4BA2-DD5A-4767-8FD8-A3B4CA0DBAE6}" name="PROPRIETARIO"/>
    <tableColumn id="2" xr3:uid="{2C77D2C7-1B7A-4804-BC3D-A2A53D46D80A}" name="VALOR" dataCellStyle="Moeda"/>
    <tableColumn id="3" xr3:uid="{719DC0B8-17F8-48A8-BC80-A03D69618562}" name="VALIDADE" dataDxfId="43"/>
    <tableColumn id="4" xr3:uid="{18ACEA7B-9D5D-467B-826F-35FAAC4ACE22}" name="FORMA PG"/>
    <tableColumn id="8" xr3:uid="{5900D8B2-A3B3-41E2-907D-DE2C8E818579}" name="CORRETORA"/>
    <tableColumn id="6" xr3:uid="{F7803163-46F1-4621-B4D7-9EB45B24C373}" name="LOCAL DEBITO"/>
    <tableColumn id="7" xr3:uid="{C7A9109B-90E3-47A5-8F58-5DFCAB6F9B98}" name="SEGURADORA"/>
  </tableColumns>
  <tableStyleInfo name="TableStyleMedium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1CEA369-097B-4F7E-952E-E0E92AFBE171}" name="Tabela40465776941121301481663910174291623" displayName="Tabela40465776941121301481663910174291623" ref="J2:Y19" totalsRowShown="0" tableBorderDxfId="42">
  <autoFilter ref="J2:Y19" xr:uid="{00000000-0009-0000-0100-000008000000}"/>
  <tableColumns count="16">
    <tableColumn id="1" xr3:uid="{04C5690C-63B7-4DA7-B8EA-9175ACCEC951}" name="FROTA"/>
    <tableColumn id="2" xr3:uid="{135448A4-5DEC-45C3-A56D-44DD5F748E76}" name="LEANDRO TR"/>
    <tableColumn id="3" xr3:uid="{43BA652B-FCE1-4E73-B865-1CF4C7179D1A}" name="ROSELI"/>
    <tableColumn id="4" xr3:uid="{2B8532B1-4CDB-47C8-B989-6C18DB72BD71}" name="ALEXSANDRO"/>
    <tableColumn id="5" xr3:uid="{D844BFF4-C2DA-4FA2-9BF8-C419DDBAD1A0}" name="JESSICA"/>
    <tableColumn id="6" xr3:uid="{8F798779-C801-4E2E-85CB-7BBEB3B924CC}" name="CARLA"/>
    <tableColumn id="7" xr3:uid="{0DC94F47-B3FC-4C0B-9728-6EFFE1B27F1A}" name="LEONARDO"/>
    <tableColumn id="8" xr3:uid="{90D6ABA9-979B-4F9E-B719-C3C052596C3C}" name="CLAUDEIR"/>
    <tableColumn id="9" xr3:uid="{E91C86B2-11A6-4739-BA49-57BCBC986482}" name="LEANDRO SP"/>
    <tableColumn id="10" xr3:uid="{DAC1CC7A-CD20-4128-8894-517195726E3A}" name="ADM"/>
    <tableColumn id="11" xr3:uid="{7B23E27B-B690-4FBC-95C0-619E5DE48F0D}" name="MOTTA"/>
    <tableColumn id="13" xr3:uid="{36A92A04-ECC8-494D-A937-2711E939F606}" name="ALECIO"/>
    <tableColumn id="16" xr3:uid="{6F5F2120-2960-45ED-85DF-5D5C2AAD7A2F}" name="MATHEUS" dataDxfId="41" dataCellStyle="Moeda"/>
    <tableColumn id="12" xr3:uid="{7925E7C0-5750-48E6-8154-5613CDE2D5E3}" name="MURILO"/>
    <tableColumn id="14" xr3:uid="{B0B78091-E04E-491A-9C21-CA701B249620}" name="PAULO"/>
    <tableColumn id="15" xr3:uid="{BD605C41-E267-4BE5-A485-74240EB480C9}" name="TOTAL"/>
  </tableColumns>
  <tableStyleInfo name="TableStyleMedium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6C81324-0494-4FCF-8DDC-F2647DE3A18D}" name="Tabela1411114222940424961779511313114916745104753101724" displayName="Tabela1411114222940424961779511313114916745104753101724" ref="A445:G464" totalsRowShown="0" headerRowDxfId="40" tableBorderDxfId="39" headerRowCellStyle="Moeda">
  <autoFilter ref="A445:G464" xr:uid="{00000000-0009-0000-0100-000009000000}"/>
  <tableColumns count="7">
    <tableColumn id="1" xr3:uid="{5B6D56A1-8175-43E0-BB91-9DF3C6488C09}" name="DESCRIÇÃO" dataDxfId="38"/>
    <tableColumn id="2" xr3:uid="{F51ED99C-F7A1-4A80-A1F9-D952B76585FE}" name="DEPARTAMENTO" dataDxfId="37" dataCellStyle="Moeda"/>
    <tableColumn id="6" xr3:uid="{C16D8E66-80F8-496E-A314-C5F80FCAC7C0}" name="VALOR" dataDxfId="36" dataCellStyle="Vírgula"/>
    <tableColumn id="7" xr3:uid="{AED96579-58B9-451A-AAD3-E5ED26B6D05D}" name="PAGOS" dataDxfId="35" dataCellStyle="Moeda"/>
    <tableColumn id="8" xr3:uid="{BF497AEB-E316-492C-895A-2E5B426A0BBE}" name="SOLICITADO" dataDxfId="34" dataCellStyle="Moeda"/>
    <tableColumn id="3" xr3:uid="{923194B9-66F9-40D7-87E3-42E284464797}" name="VENCIMENTO" dataDxfId="33" dataCellStyle="Moeda"/>
    <tableColumn id="4" xr3:uid="{4452474F-1089-49E9-8BFB-B0C201B81783}" name="DATA PG" dataDxfId="32" dataCellStyle="Moeda"/>
  </tableColumns>
  <tableStyleInfo name="TableStyleMedium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D18E9DE-2D58-407C-BEF3-74CEA23A0E4C}" name="Tabela141111422294464809811613415216956111794111825" displayName="Tabela141111422294464809811613415216956111794111825" ref="A2:H384" totalsRowShown="0" headerRowDxfId="31" tableBorderDxfId="30" headerRowCellStyle="Moeda">
  <autoFilter ref="A2:H384" xr:uid="{00000000-0009-0000-0100-00000A000000}"/>
  <sortState ref="A3:H383">
    <sortCondition ref="H2:H378"/>
  </sortState>
  <tableColumns count="8">
    <tableColumn id="1" xr3:uid="{7F5E3E16-CBFF-4A89-9445-4FC7B93D0766}" name="DESCRIÇÃO" dataDxfId="29"/>
    <tableColumn id="2" xr3:uid="{C44349E4-0E78-4152-82B4-741A230B8667}" name="TIPO DE DESPESA" dataDxfId="28" dataCellStyle="Moeda"/>
    <tableColumn id="5" xr3:uid="{A795B6C7-7A41-4DE3-9134-632B7006DD26}" name="ESC / SETOR" dataDxfId="27" dataCellStyle="Moeda"/>
    <tableColumn id="6" xr3:uid="{5132D569-A90B-4A32-9C87-6A829C3634F2}" name="VALOR" dataDxfId="26" dataCellStyle="Vírgula"/>
    <tableColumn id="7" xr3:uid="{C5FB9214-6CC3-41CA-A675-10E156A158C7}" name="PAGOS" dataDxfId="25" dataCellStyle="Moeda"/>
    <tableColumn id="8" xr3:uid="{126C8FD4-790F-4818-B192-56EDA430183D}" name="SOLICITADO" dataDxfId="24" dataCellStyle="Moeda"/>
    <tableColumn id="3" xr3:uid="{85D0717A-4472-489E-BF3A-4578E81E10ED}" name="DIA DE VENC." dataDxfId="23" dataCellStyle="Moeda"/>
    <tableColumn id="4" xr3:uid="{3772A848-C655-4FE9-B2D0-FFD6D5B09C2D}" name="DATA PG" dataDxfId="22" dataCellStyle="Moeda"/>
  </tableColumns>
  <tableStyleInfo name="TableStyleMedium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8E151C5-E8E7-4B7B-BDF9-4D5BDD9BEC34}" name="Tabela14111142229354765819911713515317062115835121926" displayName="Tabela14111142229354765819911713515317062115835121926" ref="A386:H400" totalsRowShown="0" headerRowDxfId="21" tableBorderDxfId="20" headerRowCellStyle="Moeda">
  <autoFilter ref="A386:H400" xr:uid="{00000000-0009-0000-0100-00000B000000}"/>
  <tableColumns count="8">
    <tableColumn id="1" xr3:uid="{047584E2-6E9B-48AE-8DE5-E7D841954480}" name="   " dataDxfId="19"/>
    <tableColumn id="2" xr3:uid="{B7457E21-C2D1-4EAD-81EB-6FAA708D1D43}" name="TIPO DE DESPESA" dataDxfId="18" dataCellStyle="Moeda"/>
    <tableColumn id="5" xr3:uid="{3661CABF-B56F-443C-BE13-2A842B356DE7}" name="UNIDADE" dataDxfId="17" dataCellStyle="Moeda"/>
    <tableColumn id="6" xr3:uid="{731E9B76-C21F-4E21-B996-D456D2C75FDA}" name="VALOR" dataDxfId="16" dataCellStyle="Vírgula"/>
    <tableColumn id="7" xr3:uid="{160A452B-14BA-4401-BB7F-832AC584E751}" name="PAGOS" dataDxfId="15" dataCellStyle="Moeda"/>
    <tableColumn id="8" xr3:uid="{474CDD57-92DD-428F-8F75-3B8A03470E77}" name="SOLICITADOS" dataDxfId="14" dataCellStyle="Moeda"/>
    <tableColumn id="3" xr3:uid="{8AA6E203-DBD9-4E29-8A73-237E555059B4}" name="VENCIMENTO" dataDxfId="13" dataCellStyle="Moeda"/>
    <tableColumn id="4" xr3:uid="{55C15002-80CF-4ED6-8170-1F96679B9419}" name="DATA PG" dataDxfId="12" dataCellStyle="Moeda"/>
  </tableColumns>
  <tableStyleInfo name="TableStyleMedium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AC5CC12-7B67-4D88-880D-ED92314D447F}" name="Tabela141111422294048668210011813615417171119846132027" displayName="Tabela141111422294048668210011813615417171119846132027" ref="A403:G442" totalsRowShown="0" headerRowDxfId="11" tableBorderDxfId="10" headerRowCellStyle="Moeda">
  <autoFilter ref="A403:G442" xr:uid="{00000000-0009-0000-0100-00000C000000}"/>
  <tableColumns count="7">
    <tableColumn id="1" xr3:uid="{DD8326AF-A64D-4B55-9667-4FDC1F1BB825}" name="DESCRIÇÃO" dataDxfId="9"/>
    <tableColumn id="2" xr3:uid="{6E5BBF26-65C6-4CAA-B326-883024C5E1FF}" name="DEPARTAMENTO" dataDxfId="8" dataCellStyle="Moeda"/>
    <tableColumn id="6" xr3:uid="{BA601F1D-DC79-497F-948D-23E7433641D0}" name="VALOR" dataDxfId="7" dataCellStyle="Vírgula"/>
    <tableColumn id="7" xr3:uid="{63948B1F-E5AD-45E6-9C7D-3559BDF16747}" name="PAGOS" dataDxfId="6" dataCellStyle="Moeda"/>
    <tableColumn id="8" xr3:uid="{54F0A698-38E3-4F73-822F-DD4966F2290F}" name="SOLICITADO" dataDxfId="5" dataCellStyle="Moeda"/>
    <tableColumn id="3" xr3:uid="{F7C1A891-DE36-40E7-ADDC-31431AE43162}" name="VENCIMENTO" dataDxfId="4" dataCellStyle="Moeda"/>
    <tableColumn id="4" xr3:uid="{00B2EFC7-7487-46BD-ACA4-2BF2862839B6}" name="DATA PG" dataDxfId="3" dataCellStyle="Moeda"/>
  </tableColumns>
  <tableStyleInfo name="TableStyleMedium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1AE2566-AF38-4766-AC2B-AFEB3BC0A158}" name="Tabela919310312013815617372121927142128" displayName="Tabela919310312013815617372121927142128" ref="J43:S61" totalsRowShown="0">
  <autoFilter ref="J43:S61" xr:uid="{00000000-0009-0000-0100-00000D000000}"/>
  <tableColumns count="10">
    <tableColumn id="1" xr3:uid="{16239D6A-DD3F-458A-B72D-09FE9683E94B}" name="DESPESAS"/>
    <tableColumn id="2" xr3:uid="{D60218AB-926B-45F5-B23A-1FF702C18FEE}" name="TERRA RICA" dataCellStyle="Moeda"/>
    <tableColumn id="3" xr3:uid="{5F2F3DA8-0F74-4F0A-9939-555AE8892775}" name="PRIMAVERA" dataCellStyle="Moeda"/>
    <tableColumn id="4" xr3:uid="{71D43C8A-9EE1-4444-BC63-E7E84764E3D2}" name="TEODORO" dataCellStyle="Moeda"/>
    <tableColumn id="5" xr3:uid="{D6F65338-278A-4888-BD84-D5A9788C6750}" name="VENCESLAU" dataCellStyle="Moeda"/>
    <tableColumn id="6" xr3:uid="{28C9F4DE-77CD-4375-B9DE-C31E799A5DC8}" name="IVINHEMA" dataCellStyle="Moeda"/>
    <tableColumn id="10" xr3:uid="{393D28CB-6DFD-416D-B983-D64BADB0FF53}" name="RPV/ PRECATORIO" dataDxfId="2" dataCellStyle="Moeda"/>
    <tableColumn id="7" xr3:uid="{AB16F49D-6FE7-4997-8C87-4846032FFF9C}" name="ADMNISTRATIVO" dataCellStyle="Moeda"/>
    <tableColumn id="8" xr3:uid="{07E96C0D-40E3-4D47-A604-9A5870EE1D0A}" name="CAMPO" dataCellStyle="Moeda"/>
    <tableColumn id="9" xr3:uid="{6B055747-3CB2-4846-B9CF-1A954C0A3F31}" name="GERAL" dataCellStyle="Moeda"/>
  </tableColumns>
  <tableStyleInfo name="TableStyleMedium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6B75FCA-4092-4D84-82DB-2EBA2AF57BFB}" name="Tabela3663789611413215817573129978152229" displayName="Tabela3663789611413215817573129978152229" ref="J22:Q36" totalsRowShown="0" tableBorderDxfId="1">
  <autoFilter ref="J22:Q36" xr:uid="{00000000-0009-0000-0100-00000E000000}"/>
  <tableColumns count="8">
    <tableColumn id="1" xr3:uid="{4159FEB9-2690-448B-96B7-1C76C9C4AF33}" name="FROTA"/>
    <tableColumn id="5" xr3:uid="{CAD931F0-D07F-451A-BE34-83ACFA8243C6}" name="PROPRIETARIO"/>
    <tableColumn id="2" xr3:uid="{F4D2E0FA-0731-49E9-B9B6-EEC2B377F576}" name="VALOR" dataCellStyle="Moeda"/>
    <tableColumn id="3" xr3:uid="{1019EDC4-3623-48CC-887F-D9656534BCBD}" name="VALIDADE" dataDxfId="0"/>
    <tableColumn id="4" xr3:uid="{9E39AD20-35CF-4EF3-AD61-6FD9227D0586}" name="FORMA PG"/>
    <tableColumn id="8" xr3:uid="{C1B0F35D-B5C5-4D9A-8B2C-D52E836543AB}" name="CORRETORA"/>
    <tableColumn id="6" xr3:uid="{8F702F73-57B7-45CC-BAB4-0BF870407A69}" name="LOCAL DEBITO"/>
    <tableColumn id="7" xr3:uid="{90AE95F4-BE8C-4A03-A950-197AC453B578}" name="SEGURADORA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.xml"/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5.xml"/><Relationship Id="rId3" Type="http://schemas.openxmlformats.org/officeDocument/2006/relationships/table" Target="../tables/table30.xml"/><Relationship Id="rId7" Type="http://schemas.openxmlformats.org/officeDocument/2006/relationships/table" Target="../tables/table34.xml"/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3.xml"/><Relationship Id="rId5" Type="http://schemas.openxmlformats.org/officeDocument/2006/relationships/table" Target="../tables/table32.xml"/><Relationship Id="rId4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85"/>
  <sheetViews>
    <sheetView topLeftCell="A220" zoomScaleNormal="100" workbookViewId="0">
      <selection activeCell="D120" sqref="D120"/>
    </sheetView>
  </sheetViews>
  <sheetFormatPr defaultRowHeight="15" x14ac:dyDescent="0.25"/>
  <cols>
    <col min="1" max="1" width="63.140625" style="2" customWidth="1"/>
    <col min="2" max="2" width="15.7109375" customWidth="1"/>
    <col min="3" max="3" width="14.140625" customWidth="1"/>
    <col min="4" max="4" width="13.42578125" customWidth="1"/>
    <col min="5" max="5" width="10.7109375" customWidth="1"/>
    <col min="6" max="6" width="13.7109375" style="25" customWidth="1"/>
    <col min="7" max="7" width="12.5703125" style="3" customWidth="1"/>
    <col min="8" max="8" width="12.28515625" customWidth="1"/>
    <col min="9" max="9" width="4.140625" customWidth="1"/>
    <col min="10" max="10" width="7.7109375" customWidth="1"/>
    <col min="11" max="11" width="19.42578125" customWidth="1"/>
    <col min="12" max="12" width="13.85546875" customWidth="1"/>
    <col min="13" max="13" width="13.7109375" customWidth="1"/>
    <col min="14" max="17" width="12.7109375" customWidth="1"/>
    <col min="18" max="18" width="14.85546875" customWidth="1"/>
    <col min="19" max="19" width="14.7109375" customWidth="1"/>
    <col min="20" max="28" width="13.7109375" customWidth="1"/>
    <col min="29" max="29" width="13.42578125" customWidth="1"/>
  </cols>
  <sheetData>
    <row r="1" spans="1:28" ht="21" x14ac:dyDescent="0.35">
      <c r="A1" s="129" t="s">
        <v>159</v>
      </c>
      <c r="B1" s="130"/>
      <c r="C1" s="130"/>
      <c r="D1" s="130"/>
      <c r="E1" s="130"/>
      <c r="F1" s="130"/>
      <c r="G1" s="130"/>
      <c r="H1" s="131"/>
      <c r="K1" s="132" t="s">
        <v>44</v>
      </c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8" ht="15.75" x14ac:dyDescent="0.25">
      <c r="A2" s="5" t="s">
        <v>7</v>
      </c>
      <c r="B2" s="4" t="s">
        <v>147</v>
      </c>
      <c r="C2" s="4" t="s">
        <v>146</v>
      </c>
      <c r="D2" s="17" t="s">
        <v>6</v>
      </c>
      <c r="E2" s="4" t="s">
        <v>3</v>
      </c>
      <c r="F2" s="4" t="s">
        <v>9</v>
      </c>
      <c r="G2" s="37" t="s">
        <v>89</v>
      </c>
      <c r="H2" s="9" t="s">
        <v>14</v>
      </c>
      <c r="K2" t="s">
        <v>45</v>
      </c>
      <c r="L2" t="s">
        <v>49</v>
      </c>
      <c r="M2" t="s">
        <v>185</v>
      </c>
      <c r="N2" t="s">
        <v>219</v>
      </c>
      <c r="O2" t="s">
        <v>50</v>
      </c>
      <c r="P2" t="s">
        <v>53</v>
      </c>
      <c r="Q2" t="s">
        <v>55</v>
      </c>
      <c r="R2" t="s">
        <v>57</v>
      </c>
      <c r="S2" t="s">
        <v>58</v>
      </c>
      <c r="T2" t="s">
        <v>2</v>
      </c>
      <c r="U2" t="s">
        <v>61</v>
      </c>
      <c r="V2" t="s">
        <v>65</v>
      </c>
      <c r="W2" t="s">
        <v>116</v>
      </c>
      <c r="X2" t="s">
        <v>197</v>
      </c>
      <c r="Y2" t="s">
        <v>218</v>
      </c>
      <c r="Z2" t="s">
        <v>66</v>
      </c>
      <c r="AA2" t="s">
        <v>0</v>
      </c>
    </row>
    <row r="3" spans="1:28" ht="15.75" x14ac:dyDescent="0.25">
      <c r="A3" s="5" t="s">
        <v>15</v>
      </c>
      <c r="B3" s="4" t="s">
        <v>15</v>
      </c>
      <c r="C3" s="4" t="s">
        <v>15</v>
      </c>
      <c r="D3" s="12">
        <v>89505.96</v>
      </c>
      <c r="E3" s="4" t="s">
        <v>4</v>
      </c>
      <c r="F3" s="64" t="s">
        <v>4</v>
      </c>
      <c r="G3" s="23"/>
      <c r="H3" s="11">
        <v>46027</v>
      </c>
      <c r="K3" t="s">
        <v>46</v>
      </c>
      <c r="Q3" s="1"/>
      <c r="X3" s="7"/>
      <c r="Y3" s="7"/>
      <c r="Z3" s="7"/>
      <c r="AA3" s="1">
        <f>SUM(Tabela40465776941121301481663910174[[#This Row],[LEANDRO TR]:[PAULO]])</f>
        <v>0</v>
      </c>
    </row>
    <row r="4" spans="1:28" ht="15.75" x14ac:dyDescent="0.25">
      <c r="A4" s="5" t="s">
        <v>232</v>
      </c>
      <c r="B4" s="4" t="s">
        <v>138</v>
      </c>
      <c r="C4" s="4" t="s">
        <v>39</v>
      </c>
      <c r="D4" s="33">
        <v>187.73</v>
      </c>
      <c r="E4" s="4" t="s">
        <v>4</v>
      </c>
      <c r="F4" s="64" t="s">
        <v>4</v>
      </c>
      <c r="G4" s="53" t="s">
        <v>105</v>
      </c>
      <c r="H4" s="11">
        <v>46027</v>
      </c>
      <c r="K4" t="s">
        <v>47</v>
      </c>
      <c r="M4" s="1"/>
      <c r="X4" s="7"/>
      <c r="Y4" s="7"/>
      <c r="Z4" s="7"/>
      <c r="AA4" s="1">
        <f>SUM(Tabela40465776941121301481663910174[[#This Row],[LEANDRO TR]:[PAULO]])</f>
        <v>0</v>
      </c>
    </row>
    <row r="5" spans="1:28" ht="15.75" x14ac:dyDescent="0.25">
      <c r="A5" s="5" t="s">
        <v>16</v>
      </c>
      <c r="B5" s="4" t="s">
        <v>84</v>
      </c>
      <c r="C5" s="4" t="s">
        <v>84</v>
      </c>
      <c r="D5" s="12">
        <v>363</v>
      </c>
      <c r="E5" s="4" t="s">
        <v>4</v>
      </c>
      <c r="F5" s="64" t="s">
        <v>4</v>
      </c>
      <c r="G5" s="67" t="s">
        <v>99</v>
      </c>
      <c r="H5" s="11">
        <v>46027</v>
      </c>
      <c r="K5" t="s">
        <v>48</v>
      </c>
      <c r="M5" s="1"/>
      <c r="W5" s="1"/>
      <c r="X5" s="1"/>
      <c r="Y5" s="1"/>
      <c r="Z5" s="1"/>
      <c r="AA5" s="1">
        <f>SUM(Tabela40465776941121301481663910174[[#This Row],[LEANDRO TR]:[PAULO]])</f>
        <v>0</v>
      </c>
    </row>
    <row r="6" spans="1:28" ht="15.75" x14ac:dyDescent="0.25">
      <c r="A6" s="5" t="s">
        <v>17</v>
      </c>
      <c r="B6" s="4" t="s">
        <v>84</v>
      </c>
      <c r="C6" s="4" t="s">
        <v>84</v>
      </c>
      <c r="D6" s="12">
        <v>363</v>
      </c>
      <c r="E6" s="4" t="s">
        <v>4</v>
      </c>
      <c r="F6" s="64" t="s">
        <v>4</v>
      </c>
      <c r="G6" s="67" t="s">
        <v>99</v>
      </c>
      <c r="H6" s="11">
        <v>46027</v>
      </c>
      <c r="K6" t="s">
        <v>51</v>
      </c>
      <c r="N6" s="61"/>
      <c r="X6" s="7"/>
      <c r="Y6" s="7"/>
      <c r="Z6" s="7"/>
      <c r="AA6" s="1">
        <f>SUM(Tabela40465776941121301481663910174[[#This Row],[LEANDRO TR]:[PAULO]])</f>
        <v>0</v>
      </c>
    </row>
    <row r="7" spans="1:28" ht="15.75" x14ac:dyDescent="0.25">
      <c r="A7" s="5" t="s">
        <v>233</v>
      </c>
      <c r="B7" s="4" t="s">
        <v>148</v>
      </c>
      <c r="C7" s="4" t="s">
        <v>38</v>
      </c>
      <c r="D7" s="12">
        <v>2470</v>
      </c>
      <c r="E7" s="4" t="s">
        <v>4</v>
      </c>
      <c r="F7" s="64" t="s">
        <v>4</v>
      </c>
      <c r="G7" s="53" t="s">
        <v>105</v>
      </c>
      <c r="H7" s="11">
        <v>46027</v>
      </c>
      <c r="K7" t="s">
        <v>52</v>
      </c>
      <c r="P7" s="61">
        <v>604.75</v>
      </c>
      <c r="X7" s="7"/>
      <c r="Y7" s="7"/>
      <c r="Z7" s="7"/>
      <c r="AA7" s="1">
        <f>SUM(Tabela40465776941121301481663910174[[#This Row],[LEANDRO TR]:[PAULO]])</f>
        <v>604.75</v>
      </c>
      <c r="AB7" s="7"/>
    </row>
    <row r="8" spans="1:28" ht="15.75" x14ac:dyDescent="0.25">
      <c r="A8" s="5" t="s">
        <v>236</v>
      </c>
      <c r="B8" s="4" t="s">
        <v>148</v>
      </c>
      <c r="C8" s="4" t="s">
        <v>38</v>
      </c>
      <c r="D8" s="12">
        <v>701.2</v>
      </c>
      <c r="E8" s="4" t="s">
        <v>4</v>
      </c>
      <c r="F8" s="64" t="s">
        <v>4</v>
      </c>
      <c r="G8" s="53" t="s">
        <v>91</v>
      </c>
      <c r="H8" s="11">
        <v>46027</v>
      </c>
      <c r="K8" t="s">
        <v>54</v>
      </c>
      <c r="L8" s="61">
        <v>768.1</v>
      </c>
      <c r="X8" s="7"/>
      <c r="Y8" s="7"/>
      <c r="Z8" s="7"/>
      <c r="AA8" s="1">
        <f>SUM(Tabela40465776941121301481663910174[[#This Row],[LEANDRO TR]:[PAULO]])</f>
        <v>768.1</v>
      </c>
      <c r="AB8" s="7"/>
    </row>
    <row r="9" spans="1:28" ht="15.75" x14ac:dyDescent="0.25">
      <c r="A9" s="10" t="s">
        <v>33</v>
      </c>
      <c r="B9" s="4" t="s">
        <v>134</v>
      </c>
      <c r="C9" s="4" t="s">
        <v>38</v>
      </c>
      <c r="D9" s="13">
        <v>99.9</v>
      </c>
      <c r="E9" s="4" t="s">
        <v>4</v>
      </c>
      <c r="F9" s="64" t="s">
        <v>4</v>
      </c>
      <c r="G9" s="53" t="s">
        <v>92</v>
      </c>
      <c r="H9" s="11">
        <v>46027</v>
      </c>
      <c r="K9" t="s">
        <v>56</v>
      </c>
      <c r="R9" s="1">
        <v>617.91999999999996</v>
      </c>
      <c r="U9" s="1"/>
      <c r="X9" s="7"/>
      <c r="Y9" s="7"/>
      <c r="Z9" s="7"/>
      <c r="AA9" s="1">
        <f>SUM(Tabela40465776941121301481663910174[[#This Row],[LEANDRO TR]:[PAULO]])</f>
        <v>617.91999999999996</v>
      </c>
      <c r="AB9" s="7"/>
    </row>
    <row r="10" spans="1:28" ht="15.75" x14ac:dyDescent="0.25">
      <c r="A10" s="5" t="s">
        <v>88</v>
      </c>
      <c r="B10" s="4" t="s">
        <v>136</v>
      </c>
      <c r="C10" s="4" t="s">
        <v>39</v>
      </c>
      <c r="D10" s="12">
        <v>320.10000000000002</v>
      </c>
      <c r="E10" s="4" t="s">
        <v>4</v>
      </c>
      <c r="F10" s="64" t="s">
        <v>4</v>
      </c>
      <c r="G10" s="67"/>
      <c r="H10" s="11">
        <v>46027</v>
      </c>
      <c r="K10" t="s">
        <v>59</v>
      </c>
      <c r="S10" s="1">
        <v>380.14</v>
      </c>
      <c r="X10" s="7"/>
      <c r="Y10" s="7"/>
      <c r="Z10" s="7"/>
      <c r="AA10" s="1">
        <f>SUM(Tabela40465776941121301481663910174[[#This Row],[LEANDRO TR]:[PAULO]])</f>
        <v>380.14</v>
      </c>
      <c r="AB10" s="7"/>
    </row>
    <row r="11" spans="1:28" ht="15.75" x14ac:dyDescent="0.25">
      <c r="A11" s="5" t="s">
        <v>75</v>
      </c>
      <c r="B11" s="4" t="s">
        <v>149</v>
      </c>
      <c r="C11" s="4" t="s">
        <v>38</v>
      </c>
      <c r="D11" s="12">
        <v>77.989999999999995</v>
      </c>
      <c r="E11" s="4" t="s">
        <v>4</v>
      </c>
      <c r="F11" s="64" t="s">
        <v>4</v>
      </c>
      <c r="G11" s="53" t="s">
        <v>92</v>
      </c>
      <c r="H11" s="11">
        <v>46027</v>
      </c>
      <c r="K11" t="s">
        <v>60</v>
      </c>
      <c r="T11" s="1"/>
      <c r="X11" s="7"/>
      <c r="Y11" s="7"/>
      <c r="Z11" s="7"/>
      <c r="AA11" s="1">
        <f>SUM(Tabela40465776941121301481663910174[[#This Row],[LEANDRO TR]:[PAULO]])</f>
        <v>0</v>
      </c>
      <c r="AB11" s="7"/>
    </row>
    <row r="12" spans="1:28" ht="15.75" x14ac:dyDescent="0.25">
      <c r="A12" s="5" t="s">
        <v>234</v>
      </c>
      <c r="B12" s="4" t="s">
        <v>136</v>
      </c>
      <c r="C12" s="4" t="s">
        <v>39</v>
      </c>
      <c r="D12" s="63">
        <v>164.45</v>
      </c>
      <c r="E12" s="4" t="s">
        <v>4</v>
      </c>
      <c r="F12" s="64" t="s">
        <v>4</v>
      </c>
      <c r="G12" s="62"/>
      <c r="H12" s="11">
        <v>46027</v>
      </c>
      <c r="K12" t="s">
        <v>62</v>
      </c>
      <c r="X12" s="7"/>
      <c r="Y12" s="7"/>
      <c r="Z12" s="7">
        <v>663.9</v>
      </c>
      <c r="AA12" s="1">
        <f>SUM(Tabela40465776941121301481663910174[[#This Row],[LEANDRO TR]:[PAULO]])</f>
        <v>663.9</v>
      </c>
      <c r="AB12" s="7"/>
    </row>
    <row r="13" spans="1:28" ht="15.75" x14ac:dyDescent="0.25">
      <c r="A13" s="5" t="s">
        <v>235</v>
      </c>
      <c r="B13" s="4" t="s">
        <v>148</v>
      </c>
      <c r="C13" s="4" t="s">
        <v>38</v>
      </c>
      <c r="D13" s="12">
        <v>1534</v>
      </c>
      <c r="E13" s="4" t="s">
        <v>4</v>
      </c>
      <c r="F13" s="64" t="s">
        <v>4</v>
      </c>
      <c r="G13" s="53" t="s">
        <v>92</v>
      </c>
      <c r="H13" s="11">
        <v>46027</v>
      </c>
      <c r="K13" t="s">
        <v>63</v>
      </c>
      <c r="M13" s="1"/>
      <c r="N13" s="1"/>
      <c r="O13" s="1"/>
      <c r="R13" s="1"/>
      <c r="X13" s="7"/>
      <c r="Y13" s="7"/>
      <c r="Z13" s="7"/>
      <c r="AA13" s="1">
        <f>SUM(Tabela40465776941121301481663910174[[#This Row],[LEANDRO TR]:[PAULO]])</f>
        <v>0</v>
      </c>
      <c r="AB13" s="7"/>
    </row>
    <row r="14" spans="1:28" ht="15.75" x14ac:dyDescent="0.25">
      <c r="A14" s="5" t="s">
        <v>156</v>
      </c>
      <c r="B14" s="4" t="s">
        <v>148</v>
      </c>
      <c r="C14" s="4" t="s">
        <v>38</v>
      </c>
      <c r="D14" s="38">
        <v>600</v>
      </c>
      <c r="E14" s="4" t="s">
        <v>4</v>
      </c>
      <c r="F14" s="64" t="s">
        <v>4</v>
      </c>
      <c r="G14" s="53" t="s">
        <v>94</v>
      </c>
      <c r="H14" s="11">
        <v>46027</v>
      </c>
      <c r="K14" t="s">
        <v>64</v>
      </c>
      <c r="V14" s="7">
        <v>352.98</v>
      </c>
      <c r="X14" s="7"/>
      <c r="Y14" s="7"/>
      <c r="Z14" s="7"/>
      <c r="AA14" s="1">
        <f>SUM(Tabela40465776941121301481663910174[[#This Row],[LEANDRO TR]:[PAULO]])</f>
        <v>352.98</v>
      </c>
      <c r="AB14" s="7"/>
    </row>
    <row r="15" spans="1:28" ht="15.75" x14ac:dyDescent="0.25">
      <c r="A15" s="5" t="s">
        <v>222</v>
      </c>
      <c r="B15" s="4" t="s">
        <v>133</v>
      </c>
      <c r="C15" s="4" t="s">
        <v>38</v>
      </c>
      <c r="D15" s="12">
        <v>68.87</v>
      </c>
      <c r="E15" s="4" t="s">
        <v>4</v>
      </c>
      <c r="F15" s="64" t="s">
        <v>4</v>
      </c>
      <c r="G15" s="53" t="s">
        <v>95</v>
      </c>
      <c r="H15" s="11">
        <v>46027</v>
      </c>
      <c r="K15" t="s">
        <v>67</v>
      </c>
      <c r="U15" s="1"/>
      <c r="X15" s="7"/>
      <c r="Y15" s="7"/>
      <c r="Z15" s="7"/>
      <c r="AA15" s="1">
        <f>SUM(Tabela40465776941121301481663910174[[#This Row],[LEANDRO TR]:[PAULO]])</f>
        <v>0</v>
      </c>
    </row>
    <row r="16" spans="1:28" ht="15.75" x14ac:dyDescent="0.25">
      <c r="A16" s="5" t="s">
        <v>106</v>
      </c>
      <c r="B16" s="4" t="s">
        <v>150</v>
      </c>
      <c r="C16" s="4" t="s">
        <v>38</v>
      </c>
      <c r="D16" s="12">
        <v>150</v>
      </c>
      <c r="E16" s="4" t="s">
        <v>4</v>
      </c>
      <c r="F16" s="64" t="s">
        <v>4</v>
      </c>
      <c r="G16" s="23"/>
      <c r="H16" s="11">
        <v>46027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x14ac:dyDescent="0.25">
      <c r="A17" s="10" t="s">
        <v>18</v>
      </c>
      <c r="B17" s="4" t="s">
        <v>148</v>
      </c>
      <c r="C17" s="4" t="s">
        <v>38</v>
      </c>
      <c r="D17" s="13">
        <v>95.87</v>
      </c>
      <c r="E17" s="4" t="s">
        <v>4</v>
      </c>
      <c r="F17" s="64" t="s">
        <v>4</v>
      </c>
      <c r="G17" s="53" t="s">
        <v>92</v>
      </c>
      <c r="H17" s="11">
        <v>46027</v>
      </c>
      <c r="K17" s="18" t="s">
        <v>0</v>
      </c>
      <c r="L17" s="19">
        <f t="shared" ref="L17:AA17" si="0">SUM(L3:L16)</f>
        <v>768.1</v>
      </c>
      <c r="M17" s="19">
        <f t="shared" si="0"/>
        <v>0</v>
      </c>
      <c r="N17" s="19">
        <f t="shared" si="0"/>
        <v>0</v>
      </c>
      <c r="O17" s="19">
        <f t="shared" si="0"/>
        <v>0</v>
      </c>
      <c r="P17" s="19">
        <f t="shared" si="0"/>
        <v>604.75</v>
      </c>
      <c r="Q17" s="19">
        <f>SUM(Q3:Q16)</f>
        <v>0</v>
      </c>
      <c r="R17" s="19">
        <f t="shared" si="0"/>
        <v>617.91999999999996</v>
      </c>
      <c r="S17" s="19">
        <f t="shared" si="0"/>
        <v>380.14</v>
      </c>
      <c r="T17" s="19">
        <f t="shared" si="0"/>
        <v>0</v>
      </c>
      <c r="U17" s="19">
        <f t="shared" si="0"/>
        <v>0</v>
      </c>
      <c r="V17" s="19">
        <f t="shared" si="0"/>
        <v>352.98</v>
      </c>
      <c r="W17" s="19">
        <f t="shared" si="0"/>
        <v>0</v>
      </c>
      <c r="X17" s="19">
        <f>SUM(X3:X16)</f>
        <v>0</v>
      </c>
      <c r="Y17" s="19">
        <f>SUM(Y3:Y16)</f>
        <v>0</v>
      </c>
      <c r="Z17" s="19">
        <f t="shared" si="0"/>
        <v>663.9</v>
      </c>
      <c r="AA17" s="19">
        <f t="shared" si="0"/>
        <v>3387.79</v>
      </c>
    </row>
    <row r="18" spans="1:27" ht="15.75" x14ac:dyDescent="0.25">
      <c r="A18" s="5" t="s">
        <v>237</v>
      </c>
      <c r="B18" s="4" t="s">
        <v>15</v>
      </c>
      <c r="C18" s="4" t="s">
        <v>15</v>
      </c>
      <c r="D18" s="12">
        <v>166.67</v>
      </c>
      <c r="E18" s="4" t="s">
        <v>4</v>
      </c>
      <c r="F18" s="64" t="s">
        <v>4</v>
      </c>
      <c r="G18" s="23"/>
      <c r="H18" s="11">
        <v>46028</v>
      </c>
      <c r="K18" s="34" t="s">
        <v>131</v>
      </c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>
        <f>SUM(Tabela40465776941121301481663910174[[#This Row],[LEANDRO TR]:[PAULO]])</f>
        <v>0</v>
      </c>
    </row>
    <row r="19" spans="1:27" ht="15.75" x14ac:dyDescent="0.25">
      <c r="A19" s="5" t="s">
        <v>238</v>
      </c>
      <c r="B19" s="4" t="s">
        <v>84</v>
      </c>
      <c r="C19" s="4" t="s">
        <v>84</v>
      </c>
      <c r="D19" s="12">
        <v>363</v>
      </c>
      <c r="E19" s="4" t="s">
        <v>4</v>
      </c>
      <c r="F19" s="64" t="s">
        <v>4</v>
      </c>
      <c r="G19" s="23"/>
      <c r="H19" s="11">
        <v>46028</v>
      </c>
      <c r="K19" s="20" t="s">
        <v>68</v>
      </c>
      <c r="L19" s="21">
        <f>(900)-(L17-L18)</f>
        <v>131.89999999999998</v>
      </c>
      <c r="M19" s="21">
        <f t="shared" ref="M19:Z19" si="1">(900)-(M17-M18)</f>
        <v>900</v>
      </c>
      <c r="N19" s="21">
        <f t="shared" si="1"/>
        <v>900</v>
      </c>
      <c r="O19" s="21">
        <f t="shared" si="1"/>
        <v>900</v>
      </c>
      <c r="P19" s="21">
        <f t="shared" si="1"/>
        <v>295.25</v>
      </c>
      <c r="Q19" s="21">
        <f t="shared" si="1"/>
        <v>900</v>
      </c>
      <c r="R19" s="21">
        <f t="shared" si="1"/>
        <v>282.08000000000004</v>
      </c>
      <c r="S19" s="21">
        <f t="shared" si="1"/>
        <v>519.86</v>
      </c>
      <c r="T19" s="21">
        <f t="shared" si="1"/>
        <v>900</v>
      </c>
      <c r="U19" s="21">
        <f t="shared" si="1"/>
        <v>900</v>
      </c>
      <c r="V19" s="21">
        <f t="shared" si="1"/>
        <v>547.02</v>
      </c>
      <c r="W19" s="21">
        <f t="shared" si="1"/>
        <v>900</v>
      </c>
      <c r="X19" s="21">
        <f t="shared" si="1"/>
        <v>900</v>
      </c>
      <c r="Y19" s="21">
        <f t="shared" si="1"/>
        <v>900</v>
      </c>
      <c r="Z19" s="21">
        <f t="shared" si="1"/>
        <v>236.10000000000002</v>
      </c>
      <c r="AA19" s="22">
        <f>SUM(Tabela40465776941121301481663910174[[#This Row],[LEANDRO TR]:[PAULO]])</f>
        <v>10112.210000000001</v>
      </c>
    </row>
    <row r="20" spans="1:27" ht="15.75" x14ac:dyDescent="0.25">
      <c r="A20" s="5" t="s">
        <v>239</v>
      </c>
      <c r="B20" s="4" t="s">
        <v>84</v>
      </c>
      <c r="C20" s="4" t="s">
        <v>84</v>
      </c>
      <c r="D20" s="12">
        <v>363</v>
      </c>
      <c r="E20" s="4" t="s">
        <v>4</v>
      </c>
      <c r="F20" s="64" t="s">
        <v>4</v>
      </c>
      <c r="G20" s="23"/>
      <c r="H20" s="11">
        <v>46028</v>
      </c>
      <c r="O20" s="7"/>
    </row>
    <row r="21" spans="1:27" ht="16.5" customHeight="1" x14ac:dyDescent="0.3">
      <c r="A21" s="5" t="s">
        <v>87</v>
      </c>
      <c r="B21" s="4" t="s">
        <v>148</v>
      </c>
      <c r="C21" s="4" t="s">
        <v>38</v>
      </c>
      <c r="D21" s="12">
        <v>120</v>
      </c>
      <c r="E21" s="4" t="s">
        <v>4</v>
      </c>
      <c r="F21" s="64" t="s">
        <v>4</v>
      </c>
      <c r="G21" s="23"/>
      <c r="H21" s="11">
        <v>46028</v>
      </c>
      <c r="K21" s="134" t="s">
        <v>107</v>
      </c>
      <c r="L21" s="135"/>
      <c r="M21" s="135"/>
      <c r="N21" s="135"/>
      <c r="O21" s="135"/>
      <c r="P21" s="135"/>
      <c r="Q21" s="135"/>
      <c r="R21" s="135"/>
      <c r="S21" s="7"/>
    </row>
    <row r="22" spans="1:27" ht="15.75" x14ac:dyDescent="0.25">
      <c r="A22" s="5" t="s">
        <v>240</v>
      </c>
      <c r="B22" s="4" t="s">
        <v>148</v>
      </c>
      <c r="C22" s="4" t="s">
        <v>38</v>
      </c>
      <c r="D22" s="12">
        <v>0.42</v>
      </c>
      <c r="E22" s="4" t="s">
        <v>4</v>
      </c>
      <c r="F22" s="64" t="s">
        <v>4</v>
      </c>
      <c r="G22" s="23"/>
      <c r="H22" s="11">
        <v>46028</v>
      </c>
      <c r="K22" t="s">
        <v>45</v>
      </c>
      <c r="L22" t="s">
        <v>163</v>
      </c>
      <c r="M22" t="s">
        <v>6</v>
      </c>
      <c r="N22" t="s">
        <v>162</v>
      </c>
      <c r="O22" t="s">
        <v>108</v>
      </c>
      <c r="P22" t="s">
        <v>182</v>
      </c>
      <c r="Q22" t="s">
        <v>164</v>
      </c>
      <c r="R22" t="s">
        <v>168</v>
      </c>
      <c r="X22" s="7"/>
      <c r="Y22" s="7"/>
      <c r="Z22" s="7"/>
      <c r="AA22" s="7"/>
    </row>
    <row r="23" spans="1:27" ht="15.75" x14ac:dyDescent="0.25">
      <c r="A23" s="5" t="s">
        <v>241</v>
      </c>
      <c r="B23" s="4" t="s">
        <v>148</v>
      </c>
      <c r="C23" s="4" t="s">
        <v>38</v>
      </c>
      <c r="D23" s="12">
        <v>0.42</v>
      </c>
      <c r="E23" s="4" t="s">
        <v>4</v>
      </c>
      <c r="F23" s="64" t="s">
        <v>4</v>
      </c>
      <c r="G23" s="23"/>
      <c r="H23" s="11">
        <v>46028</v>
      </c>
      <c r="K23" t="s">
        <v>46</v>
      </c>
      <c r="L23" t="s">
        <v>165</v>
      </c>
      <c r="M23" s="1">
        <v>332.63</v>
      </c>
      <c r="N23" s="3">
        <v>46316</v>
      </c>
      <c r="O23" t="s">
        <v>177</v>
      </c>
      <c r="P23" t="s">
        <v>184</v>
      </c>
      <c r="Q23" t="s">
        <v>166</v>
      </c>
      <c r="R23" t="s">
        <v>169</v>
      </c>
    </row>
    <row r="24" spans="1:27" ht="15.75" x14ac:dyDescent="0.25">
      <c r="A24" s="5" t="s">
        <v>242</v>
      </c>
      <c r="B24" s="4" t="s">
        <v>148</v>
      </c>
      <c r="C24" s="4" t="s">
        <v>38</v>
      </c>
      <c r="D24" s="12">
        <v>760</v>
      </c>
      <c r="E24" s="4" t="s">
        <v>4</v>
      </c>
      <c r="F24" s="64" t="s">
        <v>4</v>
      </c>
      <c r="G24" s="23"/>
      <c r="H24" s="11">
        <v>46028</v>
      </c>
      <c r="K24" t="s">
        <v>47</v>
      </c>
      <c r="L24" t="s">
        <v>165</v>
      </c>
      <c r="M24" s="1">
        <v>245.75</v>
      </c>
      <c r="N24" s="3">
        <v>46284</v>
      </c>
      <c r="O24" t="s">
        <v>177</v>
      </c>
      <c r="P24" t="s">
        <v>184</v>
      </c>
      <c r="Q24" t="s">
        <v>166</v>
      </c>
      <c r="R24" t="s">
        <v>169</v>
      </c>
    </row>
    <row r="25" spans="1:27" ht="15.75" x14ac:dyDescent="0.25">
      <c r="A25" s="5" t="s">
        <v>226</v>
      </c>
      <c r="B25" s="4" t="s">
        <v>148</v>
      </c>
      <c r="C25" s="4" t="s">
        <v>38</v>
      </c>
      <c r="D25" s="12">
        <v>284.91000000000003</v>
      </c>
      <c r="E25" s="4" t="s">
        <v>4</v>
      </c>
      <c r="F25" s="64" t="s">
        <v>4</v>
      </c>
      <c r="G25" s="23"/>
      <c r="H25" s="11">
        <v>46028</v>
      </c>
      <c r="K25" t="s">
        <v>48</v>
      </c>
      <c r="L25" t="s">
        <v>167</v>
      </c>
      <c r="M25" s="1">
        <v>195.16</v>
      </c>
      <c r="N25" s="3">
        <v>46311</v>
      </c>
      <c r="O25" t="s">
        <v>177</v>
      </c>
      <c r="P25" t="s">
        <v>184</v>
      </c>
      <c r="Q25" t="s">
        <v>166</v>
      </c>
      <c r="R25" t="s">
        <v>169</v>
      </c>
      <c r="T25" s="7"/>
    </row>
    <row r="26" spans="1:27" ht="15.75" x14ac:dyDescent="0.25">
      <c r="A26" s="5" t="s">
        <v>243</v>
      </c>
      <c r="B26" s="4" t="s">
        <v>148</v>
      </c>
      <c r="C26" s="4" t="s">
        <v>38</v>
      </c>
      <c r="D26" s="12">
        <v>255</v>
      </c>
      <c r="E26" s="4" t="s">
        <v>4</v>
      </c>
      <c r="F26" s="64" t="s">
        <v>4</v>
      </c>
      <c r="G26" s="23"/>
      <c r="H26" s="11">
        <v>46028</v>
      </c>
      <c r="K26" t="s">
        <v>51</v>
      </c>
      <c r="L26" t="s">
        <v>170</v>
      </c>
      <c r="M26" s="1">
        <v>267.10000000000002</v>
      </c>
      <c r="N26" s="3">
        <v>46232</v>
      </c>
      <c r="O26" t="s">
        <v>177</v>
      </c>
      <c r="P26" t="s">
        <v>184</v>
      </c>
      <c r="Q26" t="s">
        <v>166</v>
      </c>
      <c r="R26" t="s">
        <v>169</v>
      </c>
    </row>
    <row r="27" spans="1:27" ht="15.75" x14ac:dyDescent="0.25">
      <c r="A27" s="5" t="s">
        <v>244</v>
      </c>
      <c r="B27" s="4" t="s">
        <v>15</v>
      </c>
      <c r="C27" s="4" t="s">
        <v>15</v>
      </c>
      <c r="D27" s="12">
        <v>3954.79</v>
      </c>
      <c r="E27" s="4" t="s">
        <v>4</v>
      </c>
      <c r="F27" s="64" t="s">
        <v>4</v>
      </c>
      <c r="G27" s="23"/>
      <c r="H27" s="11">
        <v>46028</v>
      </c>
      <c r="K27" t="s">
        <v>52</v>
      </c>
      <c r="L27" t="s">
        <v>170</v>
      </c>
      <c r="M27" s="1">
        <v>210.78</v>
      </c>
      <c r="N27" s="3">
        <v>46196</v>
      </c>
      <c r="O27" t="s">
        <v>178</v>
      </c>
      <c r="P27" t="s">
        <v>183</v>
      </c>
      <c r="Q27" t="s">
        <v>172</v>
      </c>
      <c r="R27" t="s">
        <v>169</v>
      </c>
    </row>
    <row r="28" spans="1:27" ht="15.75" x14ac:dyDescent="0.25">
      <c r="A28" s="5" t="s">
        <v>245</v>
      </c>
      <c r="B28" s="4" t="s">
        <v>15</v>
      </c>
      <c r="C28" s="4" t="s">
        <v>15</v>
      </c>
      <c r="D28" s="12">
        <v>645.63</v>
      </c>
      <c r="E28" s="4" t="s">
        <v>4</v>
      </c>
      <c r="F28" s="64" t="s">
        <v>4</v>
      </c>
      <c r="G28" s="23"/>
      <c r="H28" s="11">
        <v>46028</v>
      </c>
      <c r="K28" t="s">
        <v>54</v>
      </c>
      <c r="L28" t="s">
        <v>170</v>
      </c>
      <c r="M28" s="1">
        <v>187.73</v>
      </c>
      <c r="N28" s="3">
        <v>46145</v>
      </c>
      <c r="O28" t="s">
        <v>176</v>
      </c>
      <c r="P28" t="s">
        <v>183</v>
      </c>
      <c r="R28" t="s">
        <v>169</v>
      </c>
    </row>
    <row r="29" spans="1:27" ht="15.75" x14ac:dyDescent="0.25">
      <c r="A29" s="5" t="s">
        <v>205</v>
      </c>
      <c r="B29" s="4" t="s">
        <v>148</v>
      </c>
      <c r="C29" s="4" t="s">
        <v>38</v>
      </c>
      <c r="D29" s="52">
        <v>500</v>
      </c>
      <c r="E29" s="4" t="s">
        <v>4</v>
      </c>
      <c r="F29" s="64" t="s">
        <v>4</v>
      </c>
      <c r="G29" s="49"/>
      <c r="H29" s="11">
        <v>46029</v>
      </c>
      <c r="K29" t="s">
        <v>56</v>
      </c>
      <c r="L29" t="s">
        <v>173</v>
      </c>
      <c r="M29" s="1">
        <v>273.82</v>
      </c>
      <c r="N29" s="3">
        <v>46226</v>
      </c>
      <c r="O29" t="s">
        <v>109</v>
      </c>
      <c r="P29" t="s">
        <v>183</v>
      </c>
      <c r="Q29" t="s">
        <v>174</v>
      </c>
      <c r="R29" t="s">
        <v>169</v>
      </c>
    </row>
    <row r="30" spans="1:27" ht="15.75" x14ac:dyDescent="0.25">
      <c r="A30" s="5" t="s">
        <v>257</v>
      </c>
      <c r="B30" s="4" t="s">
        <v>148</v>
      </c>
      <c r="C30" s="4" t="s">
        <v>38</v>
      </c>
      <c r="D30" s="12">
        <v>50</v>
      </c>
      <c r="E30" s="4" t="s">
        <v>4</v>
      </c>
      <c r="F30" s="64" t="s">
        <v>4</v>
      </c>
      <c r="G30" s="23"/>
      <c r="H30" s="11">
        <v>46029</v>
      </c>
      <c r="K30" t="s">
        <v>59</v>
      </c>
      <c r="L30" t="s">
        <v>167</v>
      </c>
      <c r="M30" s="1">
        <v>263.5</v>
      </c>
      <c r="N30" s="3">
        <v>46319</v>
      </c>
      <c r="O30" t="s">
        <v>177</v>
      </c>
      <c r="P30" t="s">
        <v>184</v>
      </c>
      <c r="Q30" t="s">
        <v>166</v>
      </c>
      <c r="R30" t="s">
        <v>169</v>
      </c>
    </row>
    <row r="31" spans="1:27" ht="15.75" x14ac:dyDescent="0.25">
      <c r="A31" s="5" t="s">
        <v>217</v>
      </c>
      <c r="B31" s="4" t="s">
        <v>148</v>
      </c>
      <c r="C31" s="4" t="s">
        <v>38</v>
      </c>
      <c r="D31" s="12">
        <v>250</v>
      </c>
      <c r="E31" s="4" t="s">
        <v>4</v>
      </c>
      <c r="F31" s="64" t="s">
        <v>4</v>
      </c>
      <c r="G31" s="53" t="s">
        <v>92</v>
      </c>
      <c r="H31" s="11">
        <v>46029</v>
      </c>
      <c r="K31" t="s">
        <v>60</v>
      </c>
      <c r="L31" t="s">
        <v>170</v>
      </c>
      <c r="M31" s="1">
        <v>282.75</v>
      </c>
      <c r="N31" s="3">
        <v>46263</v>
      </c>
      <c r="O31" t="s">
        <v>177</v>
      </c>
      <c r="P31" t="s">
        <v>184</v>
      </c>
      <c r="Q31" s="40" t="s">
        <v>166</v>
      </c>
      <c r="R31" t="s">
        <v>169</v>
      </c>
    </row>
    <row r="32" spans="1:27" ht="15.75" x14ac:dyDescent="0.25">
      <c r="A32" s="5" t="s">
        <v>200</v>
      </c>
      <c r="B32" s="4" t="s">
        <v>148</v>
      </c>
      <c r="C32" s="4" t="s">
        <v>38</v>
      </c>
      <c r="D32" s="52">
        <v>250</v>
      </c>
      <c r="E32" s="4" t="s">
        <v>4</v>
      </c>
      <c r="F32" s="64" t="s">
        <v>4</v>
      </c>
      <c r="G32" s="53" t="s">
        <v>92</v>
      </c>
      <c r="H32" s="11">
        <v>46029</v>
      </c>
      <c r="K32" t="s">
        <v>62</v>
      </c>
      <c r="L32" t="s">
        <v>179</v>
      </c>
      <c r="M32" s="1">
        <v>601.11</v>
      </c>
      <c r="N32" s="3">
        <v>46205</v>
      </c>
      <c r="O32" t="s">
        <v>180</v>
      </c>
      <c r="P32" t="s">
        <v>183</v>
      </c>
      <c r="Q32" t="s">
        <v>174</v>
      </c>
      <c r="R32" t="s">
        <v>171</v>
      </c>
    </row>
    <row r="33" spans="1:20" ht="15.75" x14ac:dyDescent="0.25">
      <c r="A33" s="5" t="s">
        <v>72</v>
      </c>
      <c r="B33" s="4" t="s">
        <v>149</v>
      </c>
      <c r="C33" s="4" t="s">
        <v>39</v>
      </c>
      <c r="D33" s="12">
        <v>48</v>
      </c>
      <c r="E33" s="4" t="s">
        <v>4</v>
      </c>
      <c r="F33" s="64" t="s">
        <v>4</v>
      </c>
      <c r="G33" s="53" t="s">
        <v>92</v>
      </c>
      <c r="H33" s="11">
        <v>46029</v>
      </c>
      <c r="K33" t="s">
        <v>63</v>
      </c>
      <c r="L33" t="s">
        <v>173</v>
      </c>
      <c r="M33" s="1">
        <v>252.04</v>
      </c>
      <c r="N33" s="3">
        <v>46029</v>
      </c>
      <c r="O33" t="s">
        <v>177</v>
      </c>
      <c r="P33" t="s">
        <v>183</v>
      </c>
      <c r="Q33" t="s">
        <v>166</v>
      </c>
      <c r="R33" t="s">
        <v>175</v>
      </c>
    </row>
    <row r="34" spans="1:20" ht="15.75" x14ac:dyDescent="0.25">
      <c r="A34" s="5" t="s">
        <v>71</v>
      </c>
      <c r="B34" s="4" t="s">
        <v>148</v>
      </c>
      <c r="C34" s="4" t="s">
        <v>38</v>
      </c>
      <c r="D34" s="39">
        <v>50</v>
      </c>
      <c r="E34" s="4" t="s">
        <v>4</v>
      </c>
      <c r="F34" s="64" t="s">
        <v>4</v>
      </c>
      <c r="G34" s="53" t="s">
        <v>92</v>
      </c>
      <c r="H34" s="11">
        <v>46029</v>
      </c>
      <c r="K34" t="s">
        <v>64</v>
      </c>
      <c r="L34" t="s">
        <v>170</v>
      </c>
      <c r="M34" s="1">
        <v>208.96</v>
      </c>
      <c r="N34" s="3">
        <v>46320</v>
      </c>
      <c r="O34" t="s">
        <v>177</v>
      </c>
      <c r="P34" t="s">
        <v>184</v>
      </c>
      <c r="Q34" t="s">
        <v>166</v>
      </c>
      <c r="R34" t="s">
        <v>171</v>
      </c>
    </row>
    <row r="35" spans="1:20" ht="15.75" x14ac:dyDescent="0.25">
      <c r="A35" s="5" t="s">
        <v>21</v>
      </c>
      <c r="B35" s="4" t="s">
        <v>137</v>
      </c>
      <c r="C35" s="4" t="s">
        <v>38</v>
      </c>
      <c r="D35" s="12">
        <v>1621</v>
      </c>
      <c r="E35" s="4" t="s">
        <v>4</v>
      </c>
      <c r="F35" s="64" t="s">
        <v>4</v>
      </c>
      <c r="G35" s="53" t="s">
        <v>92</v>
      </c>
      <c r="H35" s="11">
        <v>46029</v>
      </c>
      <c r="K35" t="s">
        <v>67</v>
      </c>
      <c r="L35" t="s">
        <v>167</v>
      </c>
      <c r="M35" s="1">
        <v>351.26</v>
      </c>
      <c r="N35" s="3">
        <v>46186</v>
      </c>
      <c r="O35" t="s">
        <v>178</v>
      </c>
      <c r="P35" t="s">
        <v>183</v>
      </c>
      <c r="Q35" t="s">
        <v>172</v>
      </c>
      <c r="R35" t="s">
        <v>171</v>
      </c>
    </row>
    <row r="36" spans="1:20" ht="15.75" x14ac:dyDescent="0.25">
      <c r="A36" s="5" t="s">
        <v>22</v>
      </c>
      <c r="B36" s="4" t="s">
        <v>137</v>
      </c>
      <c r="C36" s="4" t="s">
        <v>38</v>
      </c>
      <c r="D36" s="12">
        <v>1621</v>
      </c>
      <c r="E36" s="4" t="s">
        <v>4</v>
      </c>
      <c r="F36" s="64" t="s">
        <v>4</v>
      </c>
      <c r="G36" s="53" t="s">
        <v>92</v>
      </c>
      <c r="H36" s="11">
        <v>46029</v>
      </c>
      <c r="K36" t="s">
        <v>113</v>
      </c>
      <c r="M36" s="1">
        <v>262.69</v>
      </c>
      <c r="N36" s="3"/>
      <c r="O36" t="s">
        <v>109</v>
      </c>
    </row>
    <row r="37" spans="1:20" ht="15.75" x14ac:dyDescent="0.25">
      <c r="A37" s="5" t="s">
        <v>23</v>
      </c>
      <c r="B37" s="4" t="s">
        <v>137</v>
      </c>
      <c r="C37" s="4" t="s">
        <v>38</v>
      </c>
      <c r="D37" s="12">
        <v>1621</v>
      </c>
      <c r="E37" s="4" t="s">
        <v>4</v>
      </c>
      <c r="F37" s="64" t="s">
        <v>4</v>
      </c>
      <c r="G37" s="53" t="s">
        <v>92</v>
      </c>
      <c r="H37" s="11">
        <v>46029</v>
      </c>
    </row>
    <row r="38" spans="1:20" ht="15.75" x14ac:dyDescent="0.25">
      <c r="A38" s="5" t="s">
        <v>24</v>
      </c>
      <c r="B38" s="4" t="s">
        <v>137</v>
      </c>
      <c r="C38" s="4" t="s">
        <v>38</v>
      </c>
      <c r="D38" s="12">
        <v>1621</v>
      </c>
      <c r="E38" s="4" t="s">
        <v>4</v>
      </c>
      <c r="F38" s="64" t="s">
        <v>4</v>
      </c>
      <c r="G38" s="53" t="s">
        <v>92</v>
      </c>
      <c r="H38" s="11">
        <v>46029</v>
      </c>
    </row>
    <row r="39" spans="1:20" ht="15.75" x14ac:dyDescent="0.25">
      <c r="A39" s="5" t="s">
        <v>25</v>
      </c>
      <c r="B39" s="4" t="s">
        <v>137</v>
      </c>
      <c r="C39" s="4" t="s">
        <v>38</v>
      </c>
      <c r="D39" s="12">
        <v>2550</v>
      </c>
      <c r="E39" s="4" t="s">
        <v>4</v>
      </c>
      <c r="F39" s="64" t="s">
        <v>4</v>
      </c>
      <c r="G39" s="53" t="s">
        <v>92</v>
      </c>
      <c r="H39" s="11">
        <v>46029</v>
      </c>
    </row>
    <row r="40" spans="1:20" ht="15.75" x14ac:dyDescent="0.25">
      <c r="A40" s="10" t="s">
        <v>26</v>
      </c>
      <c r="B40" s="4" t="s">
        <v>137</v>
      </c>
      <c r="C40" s="4" t="s">
        <v>39</v>
      </c>
      <c r="D40" s="13">
        <v>175</v>
      </c>
      <c r="E40" s="4" t="s">
        <v>4</v>
      </c>
      <c r="F40" s="64" t="s">
        <v>4</v>
      </c>
      <c r="G40" s="53" t="s">
        <v>92</v>
      </c>
      <c r="H40" s="11">
        <v>46029</v>
      </c>
    </row>
    <row r="41" spans="1:20" ht="15.75" x14ac:dyDescent="0.25">
      <c r="A41" s="5" t="s">
        <v>20</v>
      </c>
      <c r="B41" s="4" t="s">
        <v>136</v>
      </c>
      <c r="C41" s="4" t="s">
        <v>39</v>
      </c>
      <c r="D41" s="33">
        <v>4482.68</v>
      </c>
      <c r="E41" s="4" t="s">
        <v>4</v>
      </c>
      <c r="F41" s="64" t="s">
        <v>4</v>
      </c>
      <c r="G41" s="53" t="s">
        <v>92</v>
      </c>
      <c r="H41" s="11">
        <v>46029</v>
      </c>
    </row>
    <row r="42" spans="1:20" ht="16.5" customHeight="1" x14ac:dyDescent="0.3">
      <c r="A42" s="5" t="s">
        <v>19</v>
      </c>
      <c r="B42" s="4" t="s">
        <v>136</v>
      </c>
      <c r="C42" s="4" t="s">
        <v>39</v>
      </c>
      <c r="D42" s="12">
        <v>1224.8</v>
      </c>
      <c r="E42" s="4" t="s">
        <v>4</v>
      </c>
      <c r="F42" s="64" t="s">
        <v>4</v>
      </c>
      <c r="G42" s="53" t="s">
        <v>92</v>
      </c>
      <c r="H42" s="11">
        <v>46029</v>
      </c>
      <c r="K42" s="136" t="s">
        <v>145</v>
      </c>
      <c r="L42" s="136"/>
      <c r="M42" s="136"/>
      <c r="N42" s="136"/>
      <c r="O42" s="136"/>
      <c r="P42" s="136"/>
      <c r="Q42" s="136"/>
      <c r="R42" s="136"/>
      <c r="S42" s="136"/>
      <c r="T42" s="136"/>
    </row>
    <row r="43" spans="1:20" ht="15.75" x14ac:dyDescent="0.25">
      <c r="A43" s="5" t="s">
        <v>158</v>
      </c>
      <c r="B43" s="4" t="s">
        <v>136</v>
      </c>
      <c r="C43" s="4" t="s">
        <v>39</v>
      </c>
      <c r="D43" s="12">
        <v>948.98</v>
      </c>
      <c r="E43" s="4" t="s">
        <v>4</v>
      </c>
      <c r="F43" s="64" t="s">
        <v>4</v>
      </c>
      <c r="G43" s="53" t="s">
        <v>92</v>
      </c>
      <c r="H43" s="11">
        <v>46029</v>
      </c>
      <c r="K43" t="s">
        <v>129</v>
      </c>
      <c r="L43" t="s">
        <v>126</v>
      </c>
      <c r="M43" t="s">
        <v>124</v>
      </c>
      <c r="N43" t="s">
        <v>127</v>
      </c>
      <c r="O43" t="s">
        <v>123</v>
      </c>
      <c r="P43" t="s">
        <v>122</v>
      </c>
      <c r="Q43" t="s">
        <v>153</v>
      </c>
      <c r="R43" t="s">
        <v>128</v>
      </c>
      <c r="S43" t="s">
        <v>39</v>
      </c>
      <c r="T43" t="s">
        <v>125</v>
      </c>
    </row>
    <row r="44" spans="1:20" ht="15.75" x14ac:dyDescent="0.25">
      <c r="A44" s="5" t="s">
        <v>132</v>
      </c>
      <c r="B44" s="4" t="s">
        <v>136</v>
      </c>
      <c r="C44" s="4" t="s">
        <v>39</v>
      </c>
      <c r="D44" s="33">
        <v>197.28</v>
      </c>
      <c r="E44" s="4" t="s">
        <v>4</v>
      </c>
      <c r="F44" s="64" t="s">
        <v>4</v>
      </c>
      <c r="G44" s="53" t="s">
        <v>92</v>
      </c>
      <c r="H44" s="11">
        <v>46029</v>
      </c>
      <c r="K44" t="s">
        <v>130</v>
      </c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5" t="s">
        <v>246</v>
      </c>
      <c r="B45" s="4" t="s">
        <v>15</v>
      </c>
      <c r="C45" s="4" t="s">
        <v>15</v>
      </c>
      <c r="D45" s="41">
        <v>100</v>
      </c>
      <c r="E45" s="4" t="s">
        <v>4</v>
      </c>
      <c r="F45" s="64" t="s">
        <v>4</v>
      </c>
      <c r="G45" s="53" t="s">
        <v>92</v>
      </c>
      <c r="H45" s="11">
        <v>46029</v>
      </c>
      <c r="K45" t="s">
        <v>133</v>
      </c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5" t="s">
        <v>223</v>
      </c>
      <c r="B46" s="4" t="s">
        <v>15</v>
      </c>
      <c r="C46" s="4" t="s">
        <v>15</v>
      </c>
      <c r="D46" s="41">
        <v>50</v>
      </c>
      <c r="E46" s="4" t="s">
        <v>4</v>
      </c>
      <c r="F46" s="64" t="s">
        <v>4</v>
      </c>
      <c r="G46" s="53" t="s">
        <v>92</v>
      </c>
      <c r="H46" s="11">
        <v>46029</v>
      </c>
      <c r="K46" t="s">
        <v>134</v>
      </c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5" t="s">
        <v>252</v>
      </c>
      <c r="B47" s="4" t="s">
        <v>15</v>
      </c>
      <c r="C47" s="4" t="s">
        <v>15</v>
      </c>
      <c r="D47" s="43">
        <v>250</v>
      </c>
      <c r="E47" s="4" t="s">
        <v>4</v>
      </c>
      <c r="F47" s="64" t="s">
        <v>4</v>
      </c>
      <c r="G47" s="53" t="s">
        <v>92</v>
      </c>
      <c r="H47" s="11">
        <v>46029</v>
      </c>
      <c r="K47" t="s">
        <v>137</v>
      </c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5" t="s">
        <v>251</v>
      </c>
      <c r="B48" s="4" t="s">
        <v>15</v>
      </c>
      <c r="C48" s="4" t="s">
        <v>15</v>
      </c>
      <c r="D48" s="43">
        <v>300</v>
      </c>
      <c r="E48" s="4" t="s">
        <v>4</v>
      </c>
      <c r="F48" s="64" t="s">
        <v>4</v>
      </c>
      <c r="G48" s="53" t="s">
        <v>92</v>
      </c>
      <c r="H48" s="11">
        <v>46029</v>
      </c>
      <c r="K48" t="s">
        <v>135</v>
      </c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5" t="s">
        <v>247</v>
      </c>
      <c r="B49" s="4" t="s">
        <v>15</v>
      </c>
      <c r="C49" s="4" t="s">
        <v>15</v>
      </c>
      <c r="D49" s="52">
        <v>25</v>
      </c>
      <c r="E49" s="4" t="s">
        <v>4</v>
      </c>
      <c r="F49" s="64" t="s">
        <v>4</v>
      </c>
      <c r="G49" s="53" t="s">
        <v>92</v>
      </c>
      <c r="H49" s="11">
        <v>46029</v>
      </c>
      <c r="K49" t="s">
        <v>136</v>
      </c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5" t="s">
        <v>248</v>
      </c>
      <c r="B50" s="4" t="s">
        <v>15</v>
      </c>
      <c r="C50" s="4" t="s">
        <v>15</v>
      </c>
      <c r="D50" s="52">
        <v>25</v>
      </c>
      <c r="E50" s="4" t="s">
        <v>4</v>
      </c>
      <c r="F50" s="64" t="s">
        <v>4</v>
      </c>
      <c r="G50" s="53" t="s">
        <v>92</v>
      </c>
      <c r="H50" s="11">
        <v>46029</v>
      </c>
      <c r="K50" t="s">
        <v>151</v>
      </c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5" t="s">
        <v>249</v>
      </c>
      <c r="B51" s="4" t="s">
        <v>15</v>
      </c>
      <c r="C51" s="4" t="s">
        <v>15</v>
      </c>
      <c r="D51" s="52">
        <v>50</v>
      </c>
      <c r="E51" s="4" t="s">
        <v>4</v>
      </c>
      <c r="F51" s="64" t="s">
        <v>4</v>
      </c>
      <c r="G51" s="53" t="s">
        <v>92</v>
      </c>
      <c r="H51" s="11">
        <v>46029</v>
      </c>
      <c r="K51" t="s">
        <v>138</v>
      </c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5" t="s">
        <v>224</v>
      </c>
      <c r="B52" s="4" t="s">
        <v>15</v>
      </c>
      <c r="C52" s="4" t="s">
        <v>15</v>
      </c>
      <c r="D52" s="63">
        <v>25</v>
      </c>
      <c r="E52" s="4" t="s">
        <v>4</v>
      </c>
      <c r="F52" s="64" t="s">
        <v>4</v>
      </c>
      <c r="G52" s="53" t="s">
        <v>92</v>
      </c>
      <c r="H52" s="11">
        <v>46029</v>
      </c>
      <c r="K52" t="s">
        <v>84</v>
      </c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5" t="s">
        <v>250</v>
      </c>
      <c r="B53" s="4" t="s">
        <v>15</v>
      </c>
      <c r="C53" s="4" t="s">
        <v>15</v>
      </c>
      <c r="D53" s="52">
        <v>50</v>
      </c>
      <c r="E53" s="4" t="s">
        <v>4</v>
      </c>
      <c r="F53" s="64" t="s">
        <v>4</v>
      </c>
      <c r="G53" s="53" t="s">
        <v>92</v>
      </c>
      <c r="H53" s="11">
        <v>46029</v>
      </c>
      <c r="K53" t="s">
        <v>139</v>
      </c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5" t="s">
        <v>225</v>
      </c>
      <c r="B54" s="4" t="s">
        <v>15</v>
      </c>
      <c r="C54" s="4" t="s">
        <v>15</v>
      </c>
      <c r="D54" s="12">
        <v>25</v>
      </c>
      <c r="E54" s="4" t="s">
        <v>4</v>
      </c>
      <c r="F54" s="64" t="s">
        <v>4</v>
      </c>
      <c r="G54" s="53" t="s">
        <v>92</v>
      </c>
      <c r="H54" s="11">
        <v>46029</v>
      </c>
      <c r="K54" t="s">
        <v>190</v>
      </c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5" t="s">
        <v>253</v>
      </c>
      <c r="B55" s="4" t="s">
        <v>15</v>
      </c>
      <c r="C55" s="4" t="s">
        <v>15</v>
      </c>
      <c r="D55" s="43">
        <v>1200</v>
      </c>
      <c r="E55" s="4" t="s">
        <v>4</v>
      </c>
      <c r="F55" s="64" t="s">
        <v>4</v>
      </c>
      <c r="G55" s="53" t="s">
        <v>92</v>
      </c>
      <c r="H55" s="11">
        <v>46029</v>
      </c>
      <c r="K55" t="s">
        <v>140</v>
      </c>
      <c r="L55" s="1"/>
      <c r="M55" s="1"/>
      <c r="N55" s="1"/>
      <c r="O55" s="1"/>
      <c r="P55" s="1"/>
      <c r="Q55" s="1"/>
      <c r="R55" s="1"/>
      <c r="S55" s="1"/>
      <c r="T55" s="1"/>
    </row>
    <row r="56" spans="1:20" ht="15" customHeight="1" x14ac:dyDescent="0.25">
      <c r="A56" s="5" t="s">
        <v>254</v>
      </c>
      <c r="B56" s="4" t="s">
        <v>15</v>
      </c>
      <c r="C56" s="4" t="s">
        <v>15</v>
      </c>
      <c r="D56" s="43">
        <v>250</v>
      </c>
      <c r="E56" s="4" t="s">
        <v>4</v>
      </c>
      <c r="F56" s="64" t="s">
        <v>4</v>
      </c>
      <c r="G56" s="53" t="s">
        <v>92</v>
      </c>
      <c r="H56" s="11">
        <v>46029</v>
      </c>
      <c r="K56" t="s">
        <v>141</v>
      </c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5" t="s">
        <v>213</v>
      </c>
      <c r="B57" s="4" t="s">
        <v>15</v>
      </c>
      <c r="C57" s="4" t="s">
        <v>15</v>
      </c>
      <c r="D57" s="43">
        <v>750</v>
      </c>
      <c r="E57" s="4" t="s">
        <v>4</v>
      </c>
      <c r="F57" s="64" t="s">
        <v>4</v>
      </c>
      <c r="G57" s="53" t="s">
        <v>92</v>
      </c>
      <c r="H57" s="11">
        <v>46029</v>
      </c>
      <c r="K57" t="s">
        <v>142</v>
      </c>
      <c r="L57" s="1"/>
      <c r="M57" s="1"/>
      <c r="N57" s="1"/>
      <c r="O57" s="1"/>
      <c r="P57" s="1"/>
      <c r="Q57" s="1"/>
      <c r="R57" s="1"/>
      <c r="S57" s="1"/>
      <c r="T57" s="1"/>
    </row>
    <row r="58" spans="1:20" ht="15.75" customHeight="1" x14ac:dyDescent="0.25">
      <c r="A58" s="5" t="s">
        <v>255</v>
      </c>
      <c r="B58" s="4" t="s">
        <v>15</v>
      </c>
      <c r="C58" s="4" t="s">
        <v>15</v>
      </c>
      <c r="D58" s="43">
        <v>250</v>
      </c>
      <c r="E58" s="4" t="s">
        <v>4</v>
      </c>
      <c r="F58" s="64" t="s">
        <v>4</v>
      </c>
      <c r="G58" s="53" t="s">
        <v>92</v>
      </c>
      <c r="H58" s="11">
        <v>46029</v>
      </c>
      <c r="K58" t="s">
        <v>143</v>
      </c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5" t="s">
        <v>256</v>
      </c>
      <c r="B59" s="4" t="s">
        <v>15</v>
      </c>
      <c r="C59" s="4" t="s">
        <v>15</v>
      </c>
      <c r="D59" s="66">
        <v>200</v>
      </c>
      <c r="E59" s="4" t="s">
        <v>4</v>
      </c>
      <c r="F59" s="64" t="s">
        <v>4</v>
      </c>
      <c r="G59" s="53" t="s">
        <v>92</v>
      </c>
      <c r="H59" s="11">
        <v>46029</v>
      </c>
      <c r="K59" t="s">
        <v>201</v>
      </c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5" t="s">
        <v>258</v>
      </c>
      <c r="B60" s="4" t="s">
        <v>15</v>
      </c>
      <c r="C60" s="4" t="s">
        <v>15</v>
      </c>
      <c r="D60" s="43">
        <v>440</v>
      </c>
      <c r="E60" s="4" t="s">
        <v>4</v>
      </c>
      <c r="F60" s="64" t="s">
        <v>4</v>
      </c>
      <c r="G60" s="53" t="s">
        <v>92</v>
      </c>
      <c r="H60" s="11">
        <v>46029</v>
      </c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5" t="s">
        <v>110</v>
      </c>
      <c r="B61" s="4" t="s">
        <v>148</v>
      </c>
      <c r="C61" s="4" t="s">
        <v>38</v>
      </c>
      <c r="D61" s="12">
        <v>200</v>
      </c>
      <c r="E61" s="4" t="s">
        <v>4</v>
      </c>
      <c r="F61" s="64" t="s">
        <v>4</v>
      </c>
      <c r="G61" s="23"/>
      <c r="H61" s="11">
        <v>46029</v>
      </c>
      <c r="K61" t="s">
        <v>0</v>
      </c>
      <c r="L61" s="1">
        <f t="shared" ref="L61:T61" si="2">SUM(L44:L60)</f>
        <v>0</v>
      </c>
      <c r="M61" s="1">
        <f t="shared" si="2"/>
        <v>0</v>
      </c>
      <c r="N61" s="1">
        <f t="shared" si="2"/>
        <v>0</v>
      </c>
      <c r="O61" s="1">
        <f t="shared" si="2"/>
        <v>0</v>
      </c>
      <c r="P61" s="1">
        <f t="shared" si="2"/>
        <v>0</v>
      </c>
      <c r="Q61" s="1">
        <f t="shared" si="2"/>
        <v>0</v>
      </c>
      <c r="R61" s="1">
        <f t="shared" si="2"/>
        <v>0</v>
      </c>
      <c r="S61" s="1">
        <f t="shared" si="2"/>
        <v>0</v>
      </c>
      <c r="T61" s="1">
        <f t="shared" si="2"/>
        <v>0</v>
      </c>
    </row>
    <row r="62" spans="1:20" ht="15.75" x14ac:dyDescent="0.25">
      <c r="A62" s="5" t="s">
        <v>260</v>
      </c>
      <c r="B62" s="4" t="s">
        <v>148</v>
      </c>
      <c r="C62" s="4" t="s">
        <v>38</v>
      </c>
      <c r="D62" s="12">
        <v>312.37</v>
      </c>
      <c r="E62" s="4" t="s">
        <v>4</v>
      </c>
      <c r="F62" s="64" t="s">
        <v>4</v>
      </c>
      <c r="G62" s="23"/>
      <c r="H62" s="11">
        <v>46029</v>
      </c>
    </row>
    <row r="63" spans="1:20" ht="15.75" x14ac:dyDescent="0.25">
      <c r="A63" s="5" t="s">
        <v>261</v>
      </c>
      <c r="B63" s="4" t="s">
        <v>148</v>
      </c>
      <c r="C63" s="4" t="s">
        <v>38</v>
      </c>
      <c r="D63" s="12">
        <v>8</v>
      </c>
      <c r="E63" s="4" t="s">
        <v>4</v>
      </c>
      <c r="F63" s="64" t="s">
        <v>4</v>
      </c>
      <c r="G63" s="23"/>
      <c r="H63" s="11">
        <v>46030</v>
      </c>
    </row>
    <row r="64" spans="1:20" ht="15.75" x14ac:dyDescent="0.25">
      <c r="A64" s="5" t="s">
        <v>262</v>
      </c>
      <c r="B64" s="4" t="s">
        <v>148</v>
      </c>
      <c r="C64" s="4" t="s">
        <v>38</v>
      </c>
      <c r="D64" s="12">
        <v>8</v>
      </c>
      <c r="E64" s="4" t="s">
        <v>4</v>
      </c>
      <c r="F64" s="64" t="s">
        <v>4</v>
      </c>
      <c r="G64" s="23"/>
      <c r="H64" s="11">
        <v>46030</v>
      </c>
    </row>
    <row r="65" spans="1:8" ht="15.75" x14ac:dyDescent="0.25">
      <c r="A65" s="5" t="s">
        <v>263</v>
      </c>
      <c r="B65" s="4" t="s">
        <v>148</v>
      </c>
      <c r="C65" s="4" t="s">
        <v>38</v>
      </c>
      <c r="D65" s="71">
        <v>8</v>
      </c>
      <c r="E65" s="4" t="s">
        <v>4</v>
      </c>
      <c r="F65" s="64" t="s">
        <v>4</v>
      </c>
      <c r="G65" s="68"/>
      <c r="H65" s="11">
        <v>46030</v>
      </c>
    </row>
    <row r="66" spans="1:8" ht="15.75" x14ac:dyDescent="0.25">
      <c r="A66" s="5" t="s">
        <v>264</v>
      </c>
      <c r="B66" s="4" t="s">
        <v>148</v>
      </c>
      <c r="C66" s="4" t="s">
        <v>38</v>
      </c>
      <c r="D66" s="71">
        <v>8</v>
      </c>
      <c r="E66" s="4" t="s">
        <v>4</v>
      </c>
      <c r="F66" s="64" t="s">
        <v>4</v>
      </c>
      <c r="G66" s="68"/>
      <c r="H66" s="11">
        <v>46030</v>
      </c>
    </row>
    <row r="67" spans="1:8" ht="15.75" x14ac:dyDescent="0.25">
      <c r="A67" s="5" t="s">
        <v>265</v>
      </c>
      <c r="B67" s="4" t="s">
        <v>148</v>
      </c>
      <c r="C67" s="4" t="s">
        <v>38</v>
      </c>
      <c r="D67" s="12">
        <v>8</v>
      </c>
      <c r="E67" s="4" t="s">
        <v>4</v>
      </c>
      <c r="F67" s="64" t="s">
        <v>4</v>
      </c>
      <c r="G67" s="23"/>
      <c r="H67" s="11">
        <v>46030</v>
      </c>
    </row>
    <row r="68" spans="1:8" ht="15.75" x14ac:dyDescent="0.25">
      <c r="A68" s="5" t="s">
        <v>266</v>
      </c>
      <c r="B68" s="4" t="s">
        <v>148</v>
      </c>
      <c r="C68" s="4" t="s">
        <v>38</v>
      </c>
      <c r="D68" s="12">
        <v>8</v>
      </c>
      <c r="E68" s="4" t="s">
        <v>4</v>
      </c>
      <c r="F68" s="64" t="s">
        <v>4</v>
      </c>
      <c r="G68" s="23"/>
      <c r="H68" s="11">
        <v>46030</v>
      </c>
    </row>
    <row r="69" spans="1:8" ht="15.75" x14ac:dyDescent="0.25">
      <c r="A69" s="5" t="s">
        <v>270</v>
      </c>
      <c r="B69" s="4" t="s">
        <v>15</v>
      </c>
      <c r="C69" s="4" t="s">
        <v>15</v>
      </c>
      <c r="D69" s="12">
        <v>210</v>
      </c>
      <c r="E69" s="4" t="s">
        <v>4</v>
      </c>
      <c r="F69" s="64" t="s">
        <v>4</v>
      </c>
      <c r="G69" s="53" t="s">
        <v>92</v>
      </c>
      <c r="H69" s="11">
        <v>46030</v>
      </c>
    </row>
    <row r="70" spans="1:8" ht="15.75" x14ac:dyDescent="0.25">
      <c r="A70" s="5" t="s">
        <v>269</v>
      </c>
      <c r="B70" s="4" t="s">
        <v>15</v>
      </c>
      <c r="C70" s="4" t="s">
        <v>15</v>
      </c>
      <c r="D70" s="33">
        <v>450</v>
      </c>
      <c r="E70" s="4" t="s">
        <v>4</v>
      </c>
      <c r="F70" s="64" t="s">
        <v>4</v>
      </c>
      <c r="G70" s="53" t="s">
        <v>92</v>
      </c>
      <c r="H70" s="11">
        <v>46030</v>
      </c>
    </row>
    <row r="71" spans="1:8" ht="15.75" x14ac:dyDescent="0.25">
      <c r="A71" s="5" t="s">
        <v>271</v>
      </c>
      <c r="B71" s="4" t="s">
        <v>15</v>
      </c>
      <c r="C71" s="4" t="s">
        <v>15</v>
      </c>
      <c r="D71" s="43">
        <v>4350</v>
      </c>
      <c r="E71" s="4" t="s">
        <v>4</v>
      </c>
      <c r="F71" s="64" t="s">
        <v>4</v>
      </c>
      <c r="G71" s="53" t="s">
        <v>92</v>
      </c>
      <c r="H71" s="11">
        <v>46030</v>
      </c>
    </row>
    <row r="72" spans="1:8" ht="15.75" x14ac:dyDescent="0.25">
      <c r="A72" s="5" t="s">
        <v>259</v>
      </c>
      <c r="B72" s="4" t="s">
        <v>15</v>
      </c>
      <c r="C72" s="4" t="s">
        <v>15</v>
      </c>
      <c r="D72" s="42">
        <v>-1437.5</v>
      </c>
      <c r="E72" s="4" t="s">
        <v>4</v>
      </c>
      <c r="F72" s="64" t="s">
        <v>4</v>
      </c>
      <c r="G72" s="53" t="s">
        <v>92</v>
      </c>
      <c r="H72" s="11">
        <v>46030</v>
      </c>
    </row>
    <row r="73" spans="1:8" ht="15.75" x14ac:dyDescent="0.25">
      <c r="A73" s="5" t="s">
        <v>203</v>
      </c>
      <c r="B73" s="4" t="s">
        <v>15</v>
      </c>
      <c r="C73" s="4" t="s">
        <v>15</v>
      </c>
      <c r="D73" s="52">
        <v>547.02</v>
      </c>
      <c r="E73" s="4" t="s">
        <v>4</v>
      </c>
      <c r="F73" s="64" t="s">
        <v>4</v>
      </c>
      <c r="G73" s="53" t="s">
        <v>92</v>
      </c>
      <c r="H73" s="11">
        <v>46030</v>
      </c>
    </row>
    <row r="74" spans="1:8" ht="15.75" x14ac:dyDescent="0.25">
      <c r="A74" s="5" t="s">
        <v>267</v>
      </c>
      <c r="B74" s="4" t="s">
        <v>15</v>
      </c>
      <c r="C74" s="4" t="s">
        <v>15</v>
      </c>
      <c r="D74" s="71">
        <v>295.25</v>
      </c>
      <c r="E74" s="4" t="s">
        <v>4</v>
      </c>
      <c r="F74" s="64" t="s">
        <v>4</v>
      </c>
      <c r="G74" s="53" t="s">
        <v>92</v>
      </c>
      <c r="H74" s="11">
        <v>46030</v>
      </c>
    </row>
    <row r="75" spans="1:8" ht="15.75" x14ac:dyDescent="0.25">
      <c r="A75" s="5" t="s">
        <v>268</v>
      </c>
      <c r="B75" s="4" t="s">
        <v>15</v>
      </c>
      <c r="C75" s="4" t="s">
        <v>15</v>
      </c>
      <c r="D75" s="71">
        <v>282.08</v>
      </c>
      <c r="E75" s="4" t="s">
        <v>4</v>
      </c>
      <c r="F75" s="64" t="s">
        <v>4</v>
      </c>
      <c r="G75" s="53" t="s">
        <v>92</v>
      </c>
      <c r="H75" s="11">
        <v>46030</v>
      </c>
    </row>
    <row r="76" spans="1:8" ht="15.75" x14ac:dyDescent="0.25">
      <c r="A76" s="5" t="s">
        <v>157</v>
      </c>
      <c r="B76" s="4" t="s">
        <v>15</v>
      </c>
      <c r="C76" s="4" t="s">
        <v>15</v>
      </c>
      <c r="D76" s="52">
        <v>131.9</v>
      </c>
      <c r="E76" s="4" t="s">
        <v>4</v>
      </c>
      <c r="F76" s="64" t="s">
        <v>4</v>
      </c>
      <c r="G76" s="53" t="s">
        <v>92</v>
      </c>
      <c r="H76" s="11">
        <v>46030</v>
      </c>
    </row>
    <row r="77" spans="1:8" ht="15.75" x14ac:dyDescent="0.25">
      <c r="A77" s="5" t="s">
        <v>212</v>
      </c>
      <c r="B77" s="4" t="s">
        <v>15</v>
      </c>
      <c r="C77" s="4" t="s">
        <v>15</v>
      </c>
      <c r="D77" s="52">
        <v>519.86</v>
      </c>
      <c r="E77" s="4" t="s">
        <v>4</v>
      </c>
      <c r="F77" s="64" t="s">
        <v>4</v>
      </c>
      <c r="G77" s="53" t="s">
        <v>92</v>
      </c>
      <c r="H77" s="11">
        <v>46030</v>
      </c>
    </row>
    <row r="78" spans="1:8" ht="15.75" x14ac:dyDescent="0.25">
      <c r="A78" s="5" t="s">
        <v>211</v>
      </c>
      <c r="B78" s="4" t="s">
        <v>15</v>
      </c>
      <c r="C78" s="4" t="s">
        <v>15</v>
      </c>
      <c r="D78" s="52">
        <v>236.1</v>
      </c>
      <c r="E78" s="4" t="s">
        <v>4</v>
      </c>
      <c r="F78" s="64" t="s">
        <v>4</v>
      </c>
      <c r="G78" s="53" t="s">
        <v>92</v>
      </c>
      <c r="H78" s="11">
        <v>46030</v>
      </c>
    </row>
    <row r="79" spans="1:8" ht="15.75" x14ac:dyDescent="0.25">
      <c r="A79" s="5" t="s">
        <v>231</v>
      </c>
      <c r="B79" s="4"/>
      <c r="C79" s="4"/>
      <c r="D79" s="14">
        <v>-0.59</v>
      </c>
      <c r="E79" s="4" t="s">
        <v>4</v>
      </c>
      <c r="F79" s="64" t="s">
        <v>4</v>
      </c>
      <c r="G79" s="23"/>
      <c r="H79" s="11">
        <v>46031</v>
      </c>
    </row>
    <row r="80" spans="1:8" ht="15.75" x14ac:dyDescent="0.25">
      <c r="A80" s="5" t="s">
        <v>272</v>
      </c>
      <c r="B80" s="4" t="s">
        <v>84</v>
      </c>
      <c r="C80" s="4" t="s">
        <v>84</v>
      </c>
      <c r="D80" s="12">
        <v>187.9</v>
      </c>
      <c r="E80" s="4" t="s">
        <v>4</v>
      </c>
      <c r="F80" s="64" t="s">
        <v>4</v>
      </c>
      <c r="G80" s="53" t="s">
        <v>94</v>
      </c>
      <c r="H80" s="11">
        <v>46031</v>
      </c>
    </row>
    <row r="81" spans="1:11" ht="15.75" x14ac:dyDescent="0.25">
      <c r="A81" s="5" t="s">
        <v>273</v>
      </c>
      <c r="B81" s="4" t="s">
        <v>84</v>
      </c>
      <c r="C81" s="4" t="s">
        <v>84</v>
      </c>
      <c r="D81" s="12">
        <v>187.9</v>
      </c>
      <c r="E81" s="4" t="s">
        <v>4</v>
      </c>
      <c r="F81" s="64" t="s">
        <v>4</v>
      </c>
      <c r="G81" s="53" t="s">
        <v>102</v>
      </c>
      <c r="H81" s="11">
        <v>46031</v>
      </c>
    </row>
    <row r="82" spans="1:11" ht="15.75" x14ac:dyDescent="0.25">
      <c r="A82" s="5" t="s">
        <v>286</v>
      </c>
      <c r="B82" s="4" t="s">
        <v>84</v>
      </c>
      <c r="C82" s="4" t="s">
        <v>84</v>
      </c>
      <c r="D82" s="12">
        <v>172.42</v>
      </c>
      <c r="E82" s="4" t="s">
        <v>4</v>
      </c>
      <c r="F82" s="64" t="s">
        <v>4</v>
      </c>
      <c r="G82" s="53" t="s">
        <v>101</v>
      </c>
      <c r="H82" s="11">
        <v>46031</v>
      </c>
    </row>
    <row r="83" spans="1:11" ht="15.75" x14ac:dyDescent="0.25">
      <c r="A83" s="5" t="s">
        <v>274</v>
      </c>
      <c r="B83" s="4" t="s">
        <v>84</v>
      </c>
      <c r="C83" s="4" t="s">
        <v>84</v>
      </c>
      <c r="D83" s="12">
        <v>172.42</v>
      </c>
      <c r="E83" s="4" t="s">
        <v>4</v>
      </c>
      <c r="F83" s="64" t="s">
        <v>4</v>
      </c>
      <c r="G83" s="53" t="s">
        <v>94</v>
      </c>
      <c r="H83" s="11">
        <v>46031</v>
      </c>
    </row>
    <row r="84" spans="1:11" ht="15.75" x14ac:dyDescent="0.25">
      <c r="A84" s="5" t="s">
        <v>275</v>
      </c>
      <c r="B84" s="4" t="s">
        <v>84</v>
      </c>
      <c r="C84" s="4" t="s">
        <v>84</v>
      </c>
      <c r="D84" s="71">
        <v>172.42</v>
      </c>
      <c r="E84" s="4" t="s">
        <v>4</v>
      </c>
      <c r="F84" s="64" t="s">
        <v>4</v>
      </c>
      <c r="G84" s="53" t="s">
        <v>284</v>
      </c>
      <c r="H84" s="11">
        <v>46031</v>
      </c>
    </row>
    <row r="85" spans="1:11" ht="15.75" x14ac:dyDescent="0.25">
      <c r="A85" s="5" t="s">
        <v>276</v>
      </c>
      <c r="B85" s="4" t="s">
        <v>84</v>
      </c>
      <c r="C85" s="4" t="s">
        <v>84</v>
      </c>
      <c r="D85" s="12">
        <v>172.42</v>
      </c>
      <c r="E85" s="4" t="s">
        <v>4</v>
      </c>
      <c r="F85" s="64" t="s">
        <v>4</v>
      </c>
      <c r="G85" s="53" t="s">
        <v>94</v>
      </c>
      <c r="H85" s="11">
        <v>46031</v>
      </c>
    </row>
    <row r="86" spans="1:11" ht="15.75" x14ac:dyDescent="0.25">
      <c r="A86" s="5" t="s">
        <v>277</v>
      </c>
      <c r="B86" s="4" t="s">
        <v>84</v>
      </c>
      <c r="C86" s="4" t="s">
        <v>84</v>
      </c>
      <c r="D86" s="12">
        <v>172.42</v>
      </c>
      <c r="E86" s="4" t="s">
        <v>4</v>
      </c>
      <c r="F86" s="64" t="s">
        <v>4</v>
      </c>
      <c r="G86" s="53" t="s">
        <v>94</v>
      </c>
      <c r="H86" s="11">
        <v>46031</v>
      </c>
    </row>
    <row r="87" spans="1:11" ht="15.75" x14ac:dyDescent="0.25">
      <c r="A87" s="5" t="s">
        <v>278</v>
      </c>
      <c r="B87" s="4" t="s">
        <v>84</v>
      </c>
      <c r="C87" s="4" t="s">
        <v>84</v>
      </c>
      <c r="D87" s="12">
        <v>187.9</v>
      </c>
      <c r="E87" s="4" t="s">
        <v>4</v>
      </c>
      <c r="F87" s="64" t="s">
        <v>4</v>
      </c>
      <c r="G87" s="53" t="s">
        <v>102</v>
      </c>
      <c r="H87" s="11">
        <v>46031</v>
      </c>
    </row>
    <row r="88" spans="1:11" ht="15.75" x14ac:dyDescent="0.25">
      <c r="A88" s="5" t="s">
        <v>279</v>
      </c>
      <c r="B88" s="4" t="s">
        <v>84</v>
      </c>
      <c r="C88" s="4" t="s">
        <v>84</v>
      </c>
      <c r="D88" s="12">
        <v>187.9</v>
      </c>
      <c r="E88" s="4" t="s">
        <v>4</v>
      </c>
      <c r="F88" s="64" t="s">
        <v>4</v>
      </c>
      <c r="G88" s="53" t="s">
        <v>101</v>
      </c>
      <c r="H88" s="11">
        <v>46031</v>
      </c>
    </row>
    <row r="89" spans="1:11" ht="15.75" x14ac:dyDescent="0.25">
      <c r="A89" s="5" t="s">
        <v>280</v>
      </c>
      <c r="B89" s="4" t="s">
        <v>84</v>
      </c>
      <c r="C89" s="4" t="s">
        <v>84</v>
      </c>
      <c r="D89" s="71">
        <v>187.9</v>
      </c>
      <c r="E89" s="4" t="s">
        <v>4</v>
      </c>
      <c r="F89" s="64" t="s">
        <v>4</v>
      </c>
      <c r="G89" s="53" t="s">
        <v>94</v>
      </c>
      <c r="H89" s="11">
        <v>46031</v>
      </c>
    </row>
    <row r="90" spans="1:11" ht="15.75" x14ac:dyDescent="0.25">
      <c r="A90" s="5" t="s">
        <v>281</v>
      </c>
      <c r="B90" s="4" t="s">
        <v>84</v>
      </c>
      <c r="C90" s="4" t="s">
        <v>84</v>
      </c>
      <c r="D90" s="71">
        <v>200.43</v>
      </c>
      <c r="E90" s="4" t="s">
        <v>4</v>
      </c>
      <c r="F90" s="64" t="s">
        <v>4</v>
      </c>
      <c r="G90" s="53" t="s">
        <v>285</v>
      </c>
      <c r="H90" s="11">
        <v>46031</v>
      </c>
    </row>
    <row r="91" spans="1:11" ht="15.75" x14ac:dyDescent="0.25">
      <c r="A91" s="5" t="s">
        <v>282</v>
      </c>
      <c r="B91" s="4" t="s">
        <v>84</v>
      </c>
      <c r="C91" s="4" t="s">
        <v>84</v>
      </c>
      <c r="D91" s="71">
        <v>200.43</v>
      </c>
      <c r="E91" s="4" t="s">
        <v>4</v>
      </c>
      <c r="F91" s="64" t="s">
        <v>4</v>
      </c>
      <c r="G91" s="53" t="s">
        <v>284</v>
      </c>
      <c r="H91" s="11">
        <v>46031</v>
      </c>
    </row>
    <row r="92" spans="1:11" ht="15.75" x14ac:dyDescent="0.25">
      <c r="A92" s="5" t="s">
        <v>283</v>
      </c>
      <c r="B92" s="4" t="s">
        <v>84</v>
      </c>
      <c r="C92" s="4" t="s">
        <v>84</v>
      </c>
      <c r="D92" s="71">
        <v>216.44</v>
      </c>
      <c r="E92" s="4" t="s">
        <v>4</v>
      </c>
      <c r="F92" s="64" t="s">
        <v>4</v>
      </c>
      <c r="G92" s="53" t="s">
        <v>94</v>
      </c>
      <c r="H92" s="11">
        <v>46031</v>
      </c>
    </row>
    <row r="93" spans="1:11" ht="15.75" x14ac:dyDescent="0.25">
      <c r="A93" s="5" t="s">
        <v>293</v>
      </c>
      <c r="B93" s="4" t="s">
        <v>15</v>
      </c>
      <c r="C93" s="4" t="s">
        <v>15</v>
      </c>
      <c r="D93" s="71">
        <v>50</v>
      </c>
      <c r="E93" s="4" t="s">
        <v>4</v>
      </c>
      <c r="F93" s="64" t="s">
        <v>4</v>
      </c>
      <c r="G93" s="68"/>
      <c r="H93" s="11">
        <v>46031</v>
      </c>
    </row>
    <row r="94" spans="1:11" ht="15.75" x14ac:dyDescent="0.25">
      <c r="A94" s="5" t="s">
        <v>76</v>
      </c>
      <c r="B94" s="4" t="s">
        <v>148</v>
      </c>
      <c r="C94" s="4" t="s">
        <v>38</v>
      </c>
      <c r="D94" s="13">
        <v>10</v>
      </c>
      <c r="E94" s="4" t="s">
        <v>4</v>
      </c>
      <c r="F94" s="64" t="s">
        <v>4</v>
      </c>
      <c r="G94" s="53" t="s">
        <v>92</v>
      </c>
      <c r="H94" s="11">
        <v>46031</v>
      </c>
    </row>
    <row r="95" spans="1:11" ht="15.75" x14ac:dyDescent="0.25">
      <c r="A95" s="5" t="s">
        <v>77</v>
      </c>
      <c r="B95" s="4" t="s">
        <v>148</v>
      </c>
      <c r="C95" s="4" t="s">
        <v>38</v>
      </c>
      <c r="D95" s="13">
        <v>9.09</v>
      </c>
      <c r="E95" s="4" t="s">
        <v>4</v>
      </c>
      <c r="F95" s="64" t="s">
        <v>4</v>
      </c>
      <c r="G95" s="53" t="s">
        <v>92</v>
      </c>
      <c r="H95" s="11">
        <v>46031</v>
      </c>
    </row>
    <row r="96" spans="1:11" ht="15.75" x14ac:dyDescent="0.25">
      <c r="A96" s="5" t="s">
        <v>299</v>
      </c>
      <c r="B96" s="4" t="s">
        <v>148</v>
      </c>
      <c r="C96" s="4" t="s">
        <v>38</v>
      </c>
      <c r="D96" s="71">
        <v>12.85</v>
      </c>
      <c r="E96" s="4" t="s">
        <v>4</v>
      </c>
      <c r="F96" s="64" t="s">
        <v>4</v>
      </c>
      <c r="G96" s="68"/>
      <c r="H96" s="11">
        <v>46031</v>
      </c>
      <c r="K96" s="26"/>
    </row>
    <row r="97" spans="1:13" ht="15.75" x14ac:dyDescent="0.25">
      <c r="A97" s="5" t="s">
        <v>30</v>
      </c>
      <c r="B97" s="4" t="s">
        <v>152</v>
      </c>
      <c r="C97" s="4" t="s">
        <v>38</v>
      </c>
      <c r="D97" s="12">
        <v>67.97</v>
      </c>
      <c r="E97" s="4" t="s">
        <v>4</v>
      </c>
      <c r="F97" s="64" t="s">
        <v>4</v>
      </c>
      <c r="G97" s="53" t="s">
        <v>91</v>
      </c>
      <c r="H97" s="11">
        <v>46031</v>
      </c>
    </row>
    <row r="98" spans="1:13" ht="15.75" x14ac:dyDescent="0.25">
      <c r="A98" s="5" t="s">
        <v>300</v>
      </c>
      <c r="B98" s="4" t="s">
        <v>148</v>
      </c>
      <c r="C98" s="4" t="s">
        <v>39</v>
      </c>
      <c r="D98" s="12">
        <v>75</v>
      </c>
      <c r="E98" s="4" t="s">
        <v>4</v>
      </c>
      <c r="F98" s="64" t="s">
        <v>4</v>
      </c>
      <c r="G98" s="23"/>
      <c r="H98" s="11">
        <v>46031</v>
      </c>
    </row>
    <row r="99" spans="1:13" ht="15.75" x14ac:dyDescent="0.25">
      <c r="A99" s="5" t="s">
        <v>221</v>
      </c>
      <c r="B99" s="4" t="s">
        <v>148</v>
      </c>
      <c r="C99" s="4" t="s">
        <v>39</v>
      </c>
      <c r="D99" s="12">
        <v>75</v>
      </c>
      <c r="E99" s="4" t="s">
        <v>4</v>
      </c>
      <c r="F99" s="64" t="s">
        <v>4</v>
      </c>
      <c r="G99" s="62"/>
      <c r="H99" s="11">
        <v>46031</v>
      </c>
    </row>
    <row r="100" spans="1:13" ht="15.75" x14ac:dyDescent="0.25">
      <c r="A100" s="5" t="s">
        <v>41</v>
      </c>
      <c r="B100" s="4" t="s">
        <v>148</v>
      </c>
      <c r="C100" s="4" t="s">
        <v>38</v>
      </c>
      <c r="D100" s="45">
        <v>45</v>
      </c>
      <c r="E100" s="4" t="s">
        <v>4</v>
      </c>
      <c r="F100" s="64" t="s">
        <v>4</v>
      </c>
      <c r="G100" s="53" t="s">
        <v>92</v>
      </c>
      <c r="H100" s="11">
        <v>46031</v>
      </c>
      <c r="K100" s="26"/>
    </row>
    <row r="101" spans="1:13" ht="15.75" x14ac:dyDescent="0.25">
      <c r="A101" s="5" t="s">
        <v>111</v>
      </c>
      <c r="B101" s="4" t="s">
        <v>149</v>
      </c>
      <c r="C101" s="4" t="s">
        <v>38</v>
      </c>
      <c r="D101" s="36">
        <v>47.99</v>
      </c>
      <c r="E101" s="4" t="s">
        <v>4</v>
      </c>
      <c r="F101" s="64" t="s">
        <v>4</v>
      </c>
      <c r="G101" s="53" t="s">
        <v>92</v>
      </c>
      <c r="H101" s="11">
        <v>46031</v>
      </c>
    </row>
    <row r="102" spans="1:13" ht="15.75" x14ac:dyDescent="0.25">
      <c r="A102" s="5" t="s">
        <v>287</v>
      </c>
      <c r="B102" s="4" t="s">
        <v>15</v>
      </c>
      <c r="C102" s="4" t="s">
        <v>15</v>
      </c>
      <c r="D102" s="71">
        <v>500</v>
      </c>
      <c r="E102" s="4" t="s">
        <v>4</v>
      </c>
      <c r="F102" s="64" t="s">
        <v>4</v>
      </c>
      <c r="G102" s="68"/>
      <c r="H102" s="11">
        <v>46031</v>
      </c>
      <c r="K102" t="s">
        <v>69</v>
      </c>
    </row>
    <row r="103" spans="1:13" ht="15.75" x14ac:dyDescent="0.25">
      <c r="A103" s="5" t="s">
        <v>288</v>
      </c>
      <c r="B103" s="4" t="s">
        <v>15</v>
      </c>
      <c r="C103" s="4" t="s">
        <v>15</v>
      </c>
      <c r="D103" s="71">
        <v>200</v>
      </c>
      <c r="E103" s="4" t="s">
        <v>4</v>
      </c>
      <c r="F103" s="64" t="s">
        <v>4</v>
      </c>
      <c r="G103" s="68"/>
      <c r="H103" s="11">
        <v>46031</v>
      </c>
    </row>
    <row r="104" spans="1:13" ht="15.75" x14ac:dyDescent="0.25">
      <c r="A104" s="5" t="s">
        <v>289</v>
      </c>
      <c r="B104" s="4" t="s">
        <v>15</v>
      </c>
      <c r="C104" s="4" t="s">
        <v>15</v>
      </c>
      <c r="D104" s="71">
        <v>550</v>
      </c>
      <c r="E104" s="4" t="s">
        <v>4</v>
      </c>
      <c r="F104" s="64" t="s">
        <v>4</v>
      </c>
      <c r="G104" s="68"/>
      <c r="H104" s="11">
        <v>46031</v>
      </c>
    </row>
    <row r="105" spans="1:13" ht="15.75" x14ac:dyDescent="0.25">
      <c r="A105" s="5" t="s">
        <v>290</v>
      </c>
      <c r="B105" s="4" t="s">
        <v>15</v>
      </c>
      <c r="C105" s="4" t="s">
        <v>15</v>
      </c>
      <c r="D105" s="71">
        <v>150</v>
      </c>
      <c r="E105" s="4" t="s">
        <v>4</v>
      </c>
      <c r="F105" s="64" t="s">
        <v>4</v>
      </c>
      <c r="G105" s="68"/>
      <c r="H105" s="11">
        <v>46031</v>
      </c>
    </row>
    <row r="106" spans="1:13" ht="15.75" x14ac:dyDescent="0.25">
      <c r="A106" s="5" t="s">
        <v>291</v>
      </c>
      <c r="B106" s="4" t="s">
        <v>15</v>
      </c>
      <c r="C106" s="4" t="s">
        <v>15</v>
      </c>
      <c r="D106" s="71">
        <v>450</v>
      </c>
      <c r="E106" s="4" t="s">
        <v>4</v>
      </c>
      <c r="F106" s="64" t="s">
        <v>4</v>
      </c>
      <c r="G106" s="68"/>
      <c r="H106" s="11">
        <v>46031</v>
      </c>
    </row>
    <row r="107" spans="1:13" ht="15.75" x14ac:dyDescent="0.25">
      <c r="A107" s="5" t="s">
        <v>292</v>
      </c>
      <c r="B107" s="4" t="s">
        <v>15</v>
      </c>
      <c r="C107" s="4" t="s">
        <v>15</v>
      </c>
      <c r="D107" s="71">
        <v>150</v>
      </c>
      <c r="E107" s="4" t="s">
        <v>4</v>
      </c>
      <c r="F107" s="64" t="s">
        <v>4</v>
      </c>
      <c r="G107" s="68"/>
      <c r="H107" s="11">
        <v>46031</v>
      </c>
    </row>
    <row r="108" spans="1:13" ht="15.75" x14ac:dyDescent="0.25">
      <c r="A108" s="5" t="s">
        <v>86</v>
      </c>
      <c r="B108" s="4" t="s">
        <v>148</v>
      </c>
      <c r="C108" s="4" t="s">
        <v>38</v>
      </c>
      <c r="D108" s="71">
        <v>130</v>
      </c>
      <c r="E108" s="4" t="s">
        <v>4</v>
      </c>
      <c r="F108" s="64" t="s">
        <v>4</v>
      </c>
      <c r="G108" s="68"/>
      <c r="H108" s="11">
        <v>46031</v>
      </c>
    </row>
    <row r="109" spans="1:13" ht="15.75" x14ac:dyDescent="0.25">
      <c r="A109" s="5" t="s">
        <v>301</v>
      </c>
      <c r="B109" s="4" t="s">
        <v>135</v>
      </c>
      <c r="C109" s="4" t="s">
        <v>38</v>
      </c>
      <c r="D109" s="71">
        <v>200</v>
      </c>
      <c r="E109" s="4" t="s">
        <v>4</v>
      </c>
      <c r="F109" s="64" t="s">
        <v>4</v>
      </c>
      <c r="G109" s="68"/>
      <c r="H109" s="11">
        <v>46031</v>
      </c>
    </row>
    <row r="110" spans="1:13" ht="15.75" x14ac:dyDescent="0.25">
      <c r="A110" s="5" t="s">
        <v>210</v>
      </c>
      <c r="B110" s="4" t="s">
        <v>148</v>
      </c>
      <c r="C110" s="4" t="s">
        <v>38</v>
      </c>
      <c r="D110" s="52">
        <v>10</v>
      </c>
      <c r="E110" s="4" t="s">
        <v>4</v>
      </c>
      <c r="F110" s="64" t="s">
        <v>4</v>
      </c>
      <c r="G110" s="49"/>
      <c r="H110" s="11">
        <v>46031</v>
      </c>
    </row>
    <row r="111" spans="1:13" ht="15.75" x14ac:dyDescent="0.25">
      <c r="A111" s="5" t="s">
        <v>214</v>
      </c>
      <c r="B111" s="4" t="s">
        <v>148</v>
      </c>
      <c r="C111" s="4" t="s">
        <v>38</v>
      </c>
      <c r="D111" s="33">
        <v>114</v>
      </c>
      <c r="E111" s="4" t="s">
        <v>4</v>
      </c>
      <c r="F111" s="64" t="s">
        <v>4</v>
      </c>
      <c r="G111" s="53" t="s">
        <v>92</v>
      </c>
      <c r="H111" s="11">
        <v>46031</v>
      </c>
      <c r="M111" s="26"/>
    </row>
    <row r="112" spans="1:13" ht="15.75" x14ac:dyDescent="0.25">
      <c r="A112" s="5" t="s">
        <v>304</v>
      </c>
      <c r="B112" s="4" t="s">
        <v>148</v>
      </c>
      <c r="C112" s="4" t="s">
        <v>38</v>
      </c>
      <c r="D112" s="12">
        <v>453.1</v>
      </c>
      <c r="E112" s="4" t="s">
        <v>4</v>
      </c>
      <c r="F112" s="64" t="s">
        <v>4</v>
      </c>
      <c r="G112" s="68"/>
      <c r="H112" s="11">
        <v>46031</v>
      </c>
      <c r="M112" s="26"/>
    </row>
    <row r="113" spans="1:8" ht="15.75" x14ac:dyDescent="0.25">
      <c r="A113" s="5" t="s">
        <v>196</v>
      </c>
      <c r="B113" s="4" t="s">
        <v>149</v>
      </c>
      <c r="C113" s="4" t="s">
        <v>39</v>
      </c>
      <c r="D113" s="13">
        <v>713.52</v>
      </c>
      <c r="E113" s="4" t="s">
        <v>4</v>
      </c>
      <c r="F113" s="64" t="s">
        <v>4</v>
      </c>
      <c r="G113" s="53" t="s">
        <v>94</v>
      </c>
      <c r="H113" s="11">
        <v>46034</v>
      </c>
    </row>
    <row r="114" spans="1:8" ht="15.75" x14ac:dyDescent="0.25">
      <c r="A114" s="5" t="s">
        <v>34</v>
      </c>
      <c r="B114" s="4" t="s">
        <v>134</v>
      </c>
      <c r="C114" s="4" t="s">
        <v>38</v>
      </c>
      <c r="D114" s="28">
        <v>80</v>
      </c>
      <c r="E114" s="4" t="s">
        <v>4</v>
      </c>
      <c r="F114" s="64" t="s">
        <v>4</v>
      </c>
      <c r="G114" s="53" t="s">
        <v>94</v>
      </c>
      <c r="H114" s="11">
        <v>46034</v>
      </c>
    </row>
    <row r="115" spans="1:8" ht="15.75" x14ac:dyDescent="0.25">
      <c r="A115" s="5" t="s">
        <v>306</v>
      </c>
      <c r="B115" s="4" t="s">
        <v>141</v>
      </c>
      <c r="C115" s="4" t="s">
        <v>39</v>
      </c>
      <c r="D115" s="13">
        <v>1622.91</v>
      </c>
      <c r="E115" s="4" t="s">
        <v>4</v>
      </c>
      <c r="F115" s="64" t="s">
        <v>4</v>
      </c>
      <c r="G115" s="53" t="s">
        <v>100</v>
      </c>
      <c r="H115" s="11">
        <v>46034</v>
      </c>
    </row>
    <row r="116" spans="1:8" ht="15.75" x14ac:dyDescent="0.25">
      <c r="A116" s="5" t="s">
        <v>31</v>
      </c>
      <c r="B116" s="4" t="s">
        <v>148</v>
      </c>
      <c r="C116" s="4" t="s">
        <v>38</v>
      </c>
      <c r="D116" s="12">
        <v>519</v>
      </c>
      <c r="E116" s="4" t="s">
        <v>4</v>
      </c>
      <c r="F116" s="64" t="s">
        <v>4</v>
      </c>
      <c r="G116" s="53" t="s">
        <v>100</v>
      </c>
      <c r="H116" s="11">
        <v>46034</v>
      </c>
    </row>
    <row r="117" spans="1:8" ht="15.75" x14ac:dyDescent="0.25">
      <c r="A117" s="5" t="s">
        <v>29</v>
      </c>
      <c r="B117" s="4" t="s">
        <v>148</v>
      </c>
      <c r="C117" s="4" t="s">
        <v>38</v>
      </c>
      <c r="D117" s="13">
        <v>140.36000000000001</v>
      </c>
      <c r="E117" s="4" t="s">
        <v>4</v>
      </c>
      <c r="F117" s="64" t="s">
        <v>4</v>
      </c>
      <c r="G117" s="53" t="s">
        <v>100</v>
      </c>
      <c r="H117" s="11">
        <v>46034</v>
      </c>
    </row>
    <row r="118" spans="1:8" ht="15.75" x14ac:dyDescent="0.25">
      <c r="A118" s="5" t="s">
        <v>191</v>
      </c>
      <c r="B118" s="4" t="s">
        <v>133</v>
      </c>
      <c r="C118" s="4" t="s">
        <v>38</v>
      </c>
      <c r="D118" s="46">
        <v>484.63</v>
      </c>
      <c r="E118" s="4" t="s">
        <v>4</v>
      </c>
      <c r="F118" s="64" t="s">
        <v>4</v>
      </c>
      <c r="G118" s="53" t="s">
        <v>100</v>
      </c>
      <c r="H118" s="11">
        <v>46034</v>
      </c>
    </row>
    <row r="119" spans="1:8" ht="15.75" x14ac:dyDescent="0.25">
      <c r="A119" s="5" t="s">
        <v>302</v>
      </c>
      <c r="B119" s="4" t="s">
        <v>148</v>
      </c>
      <c r="C119" s="4" t="s">
        <v>38</v>
      </c>
      <c r="D119" s="71">
        <v>270</v>
      </c>
      <c r="E119" s="4" t="s">
        <v>4</v>
      </c>
      <c r="F119" s="64" t="s">
        <v>4</v>
      </c>
      <c r="G119" s="68"/>
      <c r="H119" s="11">
        <v>46034</v>
      </c>
    </row>
    <row r="120" spans="1:8" ht="15.75" x14ac:dyDescent="0.25">
      <c r="A120" s="5" t="s">
        <v>32</v>
      </c>
      <c r="B120" s="4" t="s">
        <v>133</v>
      </c>
      <c r="C120" s="4" t="s">
        <v>38</v>
      </c>
      <c r="D120" s="12">
        <v>651</v>
      </c>
      <c r="E120" s="4" t="s">
        <v>4</v>
      </c>
      <c r="F120" s="64" t="s">
        <v>4</v>
      </c>
      <c r="G120" s="53" t="s">
        <v>100</v>
      </c>
      <c r="H120" s="11">
        <v>46034</v>
      </c>
    </row>
    <row r="121" spans="1:8" ht="15.75" x14ac:dyDescent="0.25">
      <c r="A121" s="5" t="s">
        <v>227</v>
      </c>
      <c r="B121" s="4" t="s">
        <v>133</v>
      </c>
      <c r="C121" s="4" t="s">
        <v>38</v>
      </c>
      <c r="D121" s="63">
        <v>693.67</v>
      </c>
      <c r="E121" s="4" t="s">
        <v>4</v>
      </c>
      <c r="F121" s="64" t="s">
        <v>4</v>
      </c>
      <c r="G121" s="62"/>
      <c r="H121" s="11">
        <v>46034</v>
      </c>
    </row>
    <row r="122" spans="1:8" ht="15.75" x14ac:dyDescent="0.25">
      <c r="A122" s="5" t="s">
        <v>73</v>
      </c>
      <c r="B122" s="4" t="s">
        <v>149</v>
      </c>
      <c r="C122" s="4" t="s">
        <v>38</v>
      </c>
      <c r="D122" s="43">
        <v>229</v>
      </c>
      <c r="E122" s="4" t="s">
        <v>4</v>
      </c>
      <c r="F122" s="64" t="s">
        <v>4</v>
      </c>
      <c r="G122" s="53" t="s">
        <v>103</v>
      </c>
      <c r="H122" s="11">
        <v>46034</v>
      </c>
    </row>
    <row r="123" spans="1:8" ht="15.75" x14ac:dyDescent="0.25">
      <c r="A123" s="5" t="s">
        <v>74</v>
      </c>
      <c r="B123" s="4" t="s">
        <v>149</v>
      </c>
      <c r="C123" s="4" t="s">
        <v>38</v>
      </c>
      <c r="D123" s="43">
        <v>189.71</v>
      </c>
      <c r="E123" s="4" t="s">
        <v>4</v>
      </c>
      <c r="F123" s="64" t="s">
        <v>4</v>
      </c>
      <c r="G123" s="53" t="s">
        <v>102</v>
      </c>
      <c r="H123" s="11">
        <v>46034</v>
      </c>
    </row>
    <row r="124" spans="1:8" ht="15.75" x14ac:dyDescent="0.25">
      <c r="A124" s="5" t="s">
        <v>303</v>
      </c>
      <c r="B124" s="4" t="s">
        <v>148</v>
      </c>
      <c r="C124" s="4" t="s">
        <v>38</v>
      </c>
      <c r="D124" s="71">
        <v>225</v>
      </c>
      <c r="E124" s="4" t="s">
        <v>4</v>
      </c>
      <c r="F124" s="64" t="s">
        <v>4</v>
      </c>
      <c r="G124" s="68"/>
      <c r="H124" s="11">
        <v>46034</v>
      </c>
    </row>
    <row r="125" spans="1:8" ht="15.75" x14ac:dyDescent="0.25">
      <c r="A125" s="5" t="s">
        <v>305</v>
      </c>
      <c r="B125" s="4" t="s">
        <v>148</v>
      </c>
      <c r="C125" s="4" t="s">
        <v>38</v>
      </c>
      <c r="D125" s="71">
        <v>267.93</v>
      </c>
      <c r="E125" s="4" t="s">
        <v>4</v>
      </c>
      <c r="F125" s="64" t="s">
        <v>4</v>
      </c>
      <c r="G125" s="68"/>
      <c r="H125" s="11">
        <v>46034</v>
      </c>
    </row>
    <row r="126" spans="1:8" ht="15.75" x14ac:dyDescent="0.25">
      <c r="A126" s="5" t="s">
        <v>83</v>
      </c>
      <c r="B126" s="4" t="s">
        <v>150</v>
      </c>
      <c r="C126" s="4" t="s">
        <v>38</v>
      </c>
      <c r="D126" s="12">
        <v>100</v>
      </c>
      <c r="E126" s="4" t="s">
        <v>4</v>
      </c>
      <c r="F126" s="64" t="s">
        <v>4</v>
      </c>
      <c r="G126" s="23"/>
      <c r="H126" s="11">
        <v>46034</v>
      </c>
    </row>
    <row r="127" spans="1:8" ht="15.75" x14ac:dyDescent="0.25">
      <c r="A127" s="5" t="s">
        <v>314</v>
      </c>
      <c r="B127" s="4" t="s">
        <v>148</v>
      </c>
      <c r="C127" s="4" t="s">
        <v>38</v>
      </c>
      <c r="D127" s="71">
        <v>46.49</v>
      </c>
      <c r="E127" s="4" t="s">
        <v>4</v>
      </c>
      <c r="F127" s="64" t="s">
        <v>4</v>
      </c>
      <c r="G127" s="68"/>
      <c r="H127" s="11">
        <v>46034</v>
      </c>
    </row>
    <row r="128" spans="1:8" ht="15.75" x14ac:dyDescent="0.25">
      <c r="A128" s="5" t="s">
        <v>318</v>
      </c>
      <c r="B128" s="70"/>
      <c r="C128" s="70"/>
      <c r="D128" s="74">
        <v>-4.09</v>
      </c>
      <c r="E128" s="4" t="s">
        <v>4</v>
      </c>
      <c r="F128" s="64" t="s">
        <v>4</v>
      </c>
      <c r="G128" s="68"/>
      <c r="H128" s="73">
        <v>46035</v>
      </c>
    </row>
    <row r="129" spans="1:8" ht="15.75" x14ac:dyDescent="0.25">
      <c r="A129" s="5" t="s">
        <v>307</v>
      </c>
      <c r="B129" s="4" t="s">
        <v>15</v>
      </c>
      <c r="C129" s="4" t="s">
        <v>15</v>
      </c>
      <c r="D129" s="71">
        <v>2880.71</v>
      </c>
      <c r="E129" s="4" t="s">
        <v>4</v>
      </c>
      <c r="F129" s="64" t="s">
        <v>4</v>
      </c>
      <c r="G129" s="68"/>
      <c r="H129" s="73">
        <v>46035</v>
      </c>
    </row>
    <row r="130" spans="1:8" ht="15.75" x14ac:dyDescent="0.25">
      <c r="A130" s="5" t="s">
        <v>308</v>
      </c>
      <c r="B130" s="4" t="s">
        <v>15</v>
      </c>
      <c r="C130" s="4" t="s">
        <v>15</v>
      </c>
      <c r="D130" s="71">
        <v>1825.03</v>
      </c>
      <c r="E130" s="4" t="s">
        <v>4</v>
      </c>
      <c r="F130" s="64" t="s">
        <v>4</v>
      </c>
      <c r="G130" s="68"/>
      <c r="H130" s="73">
        <v>46035</v>
      </c>
    </row>
    <row r="131" spans="1:8" ht="15.75" x14ac:dyDescent="0.25">
      <c r="A131" s="5" t="s">
        <v>309</v>
      </c>
      <c r="B131" s="4" t="s">
        <v>15</v>
      </c>
      <c r="C131" s="4" t="s">
        <v>15</v>
      </c>
      <c r="D131" s="71">
        <v>1121.4000000000001</v>
      </c>
      <c r="E131" s="4" t="s">
        <v>4</v>
      </c>
      <c r="F131" s="64" t="s">
        <v>4</v>
      </c>
      <c r="G131" s="68"/>
      <c r="H131" s="73">
        <v>46035</v>
      </c>
    </row>
    <row r="132" spans="1:8" ht="15.75" x14ac:dyDescent="0.25">
      <c r="A132" s="5" t="s">
        <v>310</v>
      </c>
      <c r="B132" s="4" t="s">
        <v>15</v>
      </c>
      <c r="C132" s="4" t="s">
        <v>15</v>
      </c>
      <c r="D132" s="71">
        <v>600</v>
      </c>
      <c r="E132" s="4" t="s">
        <v>4</v>
      </c>
      <c r="F132" s="64" t="s">
        <v>4</v>
      </c>
      <c r="G132" s="68"/>
      <c r="H132" s="73">
        <v>46035</v>
      </c>
    </row>
    <row r="133" spans="1:8" ht="15.75" x14ac:dyDescent="0.25">
      <c r="A133" s="5" t="s">
        <v>209</v>
      </c>
      <c r="B133" s="4" t="s">
        <v>15</v>
      </c>
      <c r="C133" s="4" t="s">
        <v>15</v>
      </c>
      <c r="D133" s="12">
        <v>200</v>
      </c>
      <c r="E133" s="4" t="s">
        <v>4</v>
      </c>
      <c r="F133" s="64" t="s">
        <v>4</v>
      </c>
      <c r="G133" s="23"/>
      <c r="H133" s="73">
        <v>46035</v>
      </c>
    </row>
    <row r="134" spans="1:8" ht="15.75" x14ac:dyDescent="0.25">
      <c r="A134" s="5" t="s">
        <v>186</v>
      </c>
      <c r="B134" s="4" t="s">
        <v>15</v>
      </c>
      <c r="C134" s="4" t="s">
        <v>15</v>
      </c>
      <c r="D134" s="12">
        <v>68.33</v>
      </c>
      <c r="E134" s="4" t="s">
        <v>4</v>
      </c>
      <c r="F134" s="64" t="s">
        <v>4</v>
      </c>
      <c r="G134" s="23"/>
      <c r="H134" s="73">
        <v>46035</v>
      </c>
    </row>
    <row r="135" spans="1:8" ht="15.75" x14ac:dyDescent="0.25">
      <c r="A135" s="5" t="s">
        <v>311</v>
      </c>
      <c r="B135" s="4" t="s">
        <v>15</v>
      </c>
      <c r="C135" s="4" t="s">
        <v>15</v>
      </c>
      <c r="D135" s="71">
        <v>333.33</v>
      </c>
      <c r="E135" s="4" t="s">
        <v>4</v>
      </c>
      <c r="F135" s="64" t="s">
        <v>4</v>
      </c>
      <c r="G135" s="68"/>
      <c r="H135" s="73">
        <v>46035</v>
      </c>
    </row>
    <row r="136" spans="1:8" ht="15.75" x14ac:dyDescent="0.25">
      <c r="A136" s="5" t="s">
        <v>312</v>
      </c>
      <c r="B136" s="4" t="s">
        <v>15</v>
      </c>
      <c r="C136" s="4" t="s">
        <v>15</v>
      </c>
      <c r="D136" s="71">
        <v>100</v>
      </c>
      <c r="E136" s="4" t="s">
        <v>4</v>
      </c>
      <c r="F136" s="64" t="s">
        <v>4</v>
      </c>
      <c r="G136" s="68"/>
      <c r="H136" s="73">
        <v>46035</v>
      </c>
    </row>
    <row r="137" spans="1:8" ht="15.75" x14ac:dyDescent="0.25">
      <c r="A137" s="5" t="s">
        <v>313</v>
      </c>
      <c r="B137" s="4" t="s">
        <v>15</v>
      </c>
      <c r="C137" s="4" t="s">
        <v>15</v>
      </c>
      <c r="D137" s="71">
        <v>333.33</v>
      </c>
      <c r="E137" s="4" t="s">
        <v>4</v>
      </c>
      <c r="F137" s="64" t="s">
        <v>4</v>
      </c>
      <c r="G137" s="68"/>
      <c r="H137" s="73">
        <v>46035</v>
      </c>
    </row>
    <row r="138" spans="1:8" ht="15.75" x14ac:dyDescent="0.25">
      <c r="A138" s="5" t="s">
        <v>70</v>
      </c>
      <c r="B138" s="4" t="s">
        <v>148</v>
      </c>
      <c r="C138" s="4" t="s">
        <v>38</v>
      </c>
      <c r="D138" s="71">
        <v>11814.34</v>
      </c>
      <c r="E138" s="4" t="s">
        <v>4</v>
      </c>
      <c r="F138" s="64" t="s">
        <v>4</v>
      </c>
      <c r="G138" s="68"/>
      <c r="H138" s="73">
        <v>46035</v>
      </c>
    </row>
    <row r="139" spans="1:8" ht="15.75" x14ac:dyDescent="0.25">
      <c r="A139" s="5" t="s">
        <v>319</v>
      </c>
      <c r="B139" s="4" t="s">
        <v>148</v>
      </c>
      <c r="C139" s="4" t="s">
        <v>38</v>
      </c>
      <c r="D139" s="71">
        <v>379.5</v>
      </c>
      <c r="E139" s="4" t="s">
        <v>4</v>
      </c>
      <c r="F139" s="64" t="s">
        <v>4</v>
      </c>
      <c r="G139" s="68"/>
      <c r="H139" s="73">
        <v>46037</v>
      </c>
    </row>
    <row r="140" spans="1:8" ht="15.75" x14ac:dyDescent="0.25">
      <c r="A140" s="5" t="s">
        <v>320</v>
      </c>
      <c r="B140" s="4" t="s">
        <v>15</v>
      </c>
      <c r="C140" s="4" t="s">
        <v>15</v>
      </c>
      <c r="D140" s="71">
        <v>150</v>
      </c>
      <c r="E140" s="4" t="s">
        <v>4</v>
      </c>
      <c r="F140" s="64" t="s">
        <v>4</v>
      </c>
      <c r="G140" s="68"/>
      <c r="H140" s="73">
        <v>46036</v>
      </c>
    </row>
    <row r="141" spans="1:8" ht="15.75" x14ac:dyDescent="0.25">
      <c r="A141" s="5" t="s">
        <v>76</v>
      </c>
      <c r="B141" s="4" t="s">
        <v>148</v>
      </c>
      <c r="C141" s="4" t="s">
        <v>38</v>
      </c>
      <c r="D141" s="71">
        <v>10</v>
      </c>
      <c r="E141" s="4" t="s">
        <v>4</v>
      </c>
      <c r="F141" s="64" t="s">
        <v>4</v>
      </c>
      <c r="G141" s="68"/>
      <c r="H141" s="73">
        <v>46036</v>
      </c>
    </row>
    <row r="142" spans="1:8" ht="15.75" x14ac:dyDescent="0.25">
      <c r="A142" s="5" t="s">
        <v>110</v>
      </c>
      <c r="B142" s="4" t="s">
        <v>148</v>
      </c>
      <c r="C142" s="4" t="s">
        <v>38</v>
      </c>
      <c r="D142" s="71">
        <v>200</v>
      </c>
      <c r="E142" s="4" t="s">
        <v>4</v>
      </c>
      <c r="F142" s="64" t="s">
        <v>4</v>
      </c>
      <c r="G142" s="68"/>
      <c r="H142" s="73">
        <v>46036</v>
      </c>
    </row>
    <row r="143" spans="1:8" ht="15.75" x14ac:dyDescent="0.25">
      <c r="A143" s="5" t="s">
        <v>321</v>
      </c>
      <c r="B143" s="4" t="s">
        <v>148</v>
      </c>
      <c r="C143" s="4" t="s">
        <v>38</v>
      </c>
      <c r="D143" s="71">
        <v>80</v>
      </c>
      <c r="E143" s="4" t="s">
        <v>4</v>
      </c>
      <c r="F143" s="64" t="s">
        <v>4</v>
      </c>
      <c r="G143" s="68"/>
      <c r="H143" s="73">
        <v>46036</v>
      </c>
    </row>
    <row r="144" spans="1:8" ht="15.75" x14ac:dyDescent="0.25">
      <c r="A144" s="5" t="s">
        <v>181</v>
      </c>
      <c r="B144" s="4" t="s">
        <v>136</v>
      </c>
      <c r="C144" s="4" t="s">
        <v>39</v>
      </c>
      <c r="D144" s="71">
        <v>50.08</v>
      </c>
      <c r="E144" s="4" t="s">
        <v>4</v>
      </c>
      <c r="F144" s="64" t="s">
        <v>4</v>
      </c>
      <c r="G144" s="68"/>
      <c r="H144" s="73">
        <v>46036</v>
      </c>
    </row>
    <row r="145" spans="1:13" ht="15.75" x14ac:dyDescent="0.25">
      <c r="A145" s="5" t="s">
        <v>36</v>
      </c>
      <c r="B145" s="4" t="s">
        <v>134</v>
      </c>
      <c r="C145" s="4" t="s">
        <v>38</v>
      </c>
      <c r="D145" s="46">
        <v>119.9</v>
      </c>
      <c r="E145" s="4" t="s">
        <v>4</v>
      </c>
      <c r="F145" s="64" t="s">
        <v>4</v>
      </c>
      <c r="G145" s="53" t="s">
        <v>102</v>
      </c>
      <c r="H145" s="73">
        <v>46037</v>
      </c>
    </row>
    <row r="146" spans="1:13" ht="15.75" x14ac:dyDescent="0.25">
      <c r="A146" s="5" t="s">
        <v>114</v>
      </c>
      <c r="B146" s="4" t="s">
        <v>148</v>
      </c>
      <c r="C146" s="4" t="s">
        <v>38</v>
      </c>
      <c r="D146" s="63">
        <v>386.32</v>
      </c>
      <c r="E146" s="4" t="s">
        <v>4</v>
      </c>
      <c r="F146" s="64" t="s">
        <v>4</v>
      </c>
      <c r="G146" s="53" t="s">
        <v>102</v>
      </c>
      <c r="H146" s="73">
        <v>46037</v>
      </c>
    </row>
    <row r="147" spans="1:13" ht="15.75" x14ac:dyDescent="0.25">
      <c r="A147" s="5" t="s">
        <v>87</v>
      </c>
      <c r="B147" s="4" t="s">
        <v>148</v>
      </c>
      <c r="C147" s="4" t="s">
        <v>38</v>
      </c>
      <c r="D147" s="71">
        <v>120</v>
      </c>
      <c r="E147" s="4" t="s">
        <v>4</v>
      </c>
      <c r="F147" s="64" t="s">
        <v>4</v>
      </c>
      <c r="G147" s="68"/>
      <c r="H147" s="73">
        <v>46037</v>
      </c>
    </row>
    <row r="148" spans="1:13" ht="15.75" x14ac:dyDescent="0.25">
      <c r="A148" s="5" t="s">
        <v>322</v>
      </c>
      <c r="B148" s="4" t="s">
        <v>148</v>
      </c>
      <c r="C148" s="4" t="s">
        <v>38</v>
      </c>
      <c r="D148" s="71">
        <v>12.85</v>
      </c>
      <c r="E148" s="4" t="s">
        <v>4</v>
      </c>
      <c r="F148" s="64" t="s">
        <v>4</v>
      </c>
      <c r="G148" s="68"/>
      <c r="H148" s="73">
        <v>46037</v>
      </c>
    </row>
    <row r="149" spans="1:13" ht="15.75" x14ac:dyDescent="0.25">
      <c r="A149" s="5" t="s">
        <v>204</v>
      </c>
      <c r="B149" s="4" t="s">
        <v>148</v>
      </c>
      <c r="C149" s="4" t="s">
        <v>38</v>
      </c>
      <c r="D149" s="52">
        <v>3000</v>
      </c>
      <c r="E149" s="4" t="s">
        <v>4</v>
      </c>
      <c r="F149" s="64" t="s">
        <v>4</v>
      </c>
      <c r="G149" s="53" t="s">
        <v>102</v>
      </c>
      <c r="H149" s="73">
        <v>46037</v>
      </c>
    </row>
    <row r="150" spans="1:13" ht="15.75" x14ac:dyDescent="0.25">
      <c r="A150" s="5" t="s">
        <v>208</v>
      </c>
      <c r="B150" s="4" t="s">
        <v>148</v>
      </c>
      <c r="C150" s="4" t="s">
        <v>38</v>
      </c>
      <c r="D150" s="57">
        <v>500</v>
      </c>
      <c r="E150" s="4" t="s">
        <v>4</v>
      </c>
      <c r="F150" s="64" t="s">
        <v>4</v>
      </c>
      <c r="G150" s="58"/>
      <c r="H150" s="73">
        <v>46037</v>
      </c>
    </row>
    <row r="151" spans="1:13" ht="15.75" x14ac:dyDescent="0.25">
      <c r="A151" s="5" t="s">
        <v>323</v>
      </c>
      <c r="B151" s="4" t="s">
        <v>136</v>
      </c>
      <c r="C151" s="4" t="s">
        <v>39</v>
      </c>
      <c r="D151" s="71">
        <v>770.49</v>
      </c>
      <c r="E151" s="4" t="s">
        <v>4</v>
      </c>
      <c r="F151" s="64" t="s">
        <v>4</v>
      </c>
      <c r="G151" s="68"/>
      <c r="H151" s="73">
        <v>46038</v>
      </c>
    </row>
    <row r="152" spans="1:13" ht="15.75" x14ac:dyDescent="0.25">
      <c r="A152" s="5" t="s">
        <v>324</v>
      </c>
      <c r="B152" s="4" t="s">
        <v>148</v>
      </c>
      <c r="C152" s="4" t="s">
        <v>38</v>
      </c>
      <c r="D152" s="71">
        <v>1536.14</v>
      </c>
      <c r="E152" s="4" t="s">
        <v>4</v>
      </c>
      <c r="F152" s="64" t="s">
        <v>4</v>
      </c>
      <c r="G152" s="68"/>
      <c r="H152" s="73">
        <v>46038</v>
      </c>
    </row>
    <row r="153" spans="1:13" ht="15.75" x14ac:dyDescent="0.25">
      <c r="A153" s="5" t="s">
        <v>86</v>
      </c>
      <c r="B153" s="4" t="s">
        <v>148</v>
      </c>
      <c r="C153" s="4" t="s">
        <v>38</v>
      </c>
      <c r="D153" s="71">
        <v>130</v>
      </c>
      <c r="E153" s="4" t="s">
        <v>4</v>
      </c>
      <c r="F153" s="64" t="s">
        <v>4</v>
      </c>
      <c r="G153" s="68"/>
      <c r="H153" s="73">
        <v>46038</v>
      </c>
    </row>
    <row r="154" spans="1:13" ht="15.75" x14ac:dyDescent="0.25">
      <c r="A154" s="5" t="s">
        <v>325</v>
      </c>
      <c r="B154" s="4" t="s">
        <v>148</v>
      </c>
      <c r="C154" s="4" t="s">
        <v>39</v>
      </c>
      <c r="D154" s="71">
        <v>60</v>
      </c>
      <c r="E154" s="4" t="s">
        <v>4</v>
      </c>
      <c r="F154" s="64" t="s">
        <v>4</v>
      </c>
      <c r="G154" s="68"/>
      <c r="H154" s="73">
        <v>46038</v>
      </c>
    </row>
    <row r="155" spans="1:13" ht="15.75" x14ac:dyDescent="0.25">
      <c r="A155" s="5" t="s">
        <v>326</v>
      </c>
      <c r="B155" s="4" t="s">
        <v>148</v>
      </c>
      <c r="C155" s="4" t="s">
        <v>39</v>
      </c>
      <c r="D155" s="71">
        <v>50</v>
      </c>
      <c r="E155" s="4" t="s">
        <v>4</v>
      </c>
      <c r="F155" s="64" t="s">
        <v>4</v>
      </c>
      <c r="G155" s="68"/>
      <c r="H155" s="73">
        <v>46038</v>
      </c>
    </row>
    <row r="156" spans="1:13" ht="15.75" x14ac:dyDescent="0.25">
      <c r="A156" s="5" t="s">
        <v>327</v>
      </c>
      <c r="B156" s="4" t="s">
        <v>15</v>
      </c>
      <c r="C156" s="4" t="s">
        <v>15</v>
      </c>
      <c r="D156" s="71">
        <v>300</v>
      </c>
      <c r="E156" s="4" t="s">
        <v>4</v>
      </c>
      <c r="F156" s="64" t="s">
        <v>4</v>
      </c>
      <c r="G156" s="68"/>
      <c r="H156" s="73">
        <v>46038</v>
      </c>
      <c r="L156" s="26"/>
      <c r="M156" s="26"/>
    </row>
    <row r="157" spans="1:13" ht="15.75" x14ac:dyDescent="0.25">
      <c r="A157" s="10" t="s">
        <v>79</v>
      </c>
      <c r="B157" s="4" t="s">
        <v>84</v>
      </c>
      <c r="C157" s="4" t="s">
        <v>84</v>
      </c>
      <c r="D157" s="13">
        <v>3616.59</v>
      </c>
      <c r="E157" s="4" t="s">
        <v>4</v>
      </c>
      <c r="F157" s="64" t="s">
        <v>4</v>
      </c>
      <c r="G157" s="53" t="s">
        <v>96</v>
      </c>
      <c r="H157" s="55">
        <v>46041</v>
      </c>
      <c r="M157" s="26"/>
    </row>
    <row r="158" spans="1:13" ht="15.75" x14ac:dyDescent="0.25">
      <c r="A158" s="10" t="s">
        <v>80</v>
      </c>
      <c r="B158" s="4" t="s">
        <v>84</v>
      </c>
      <c r="C158" s="4" t="s">
        <v>84</v>
      </c>
      <c r="D158" s="13">
        <v>3616.59</v>
      </c>
      <c r="E158" s="4" t="s">
        <v>4</v>
      </c>
      <c r="F158" s="64" t="s">
        <v>4</v>
      </c>
      <c r="G158" s="53" t="s">
        <v>96</v>
      </c>
      <c r="H158" s="55">
        <v>46041</v>
      </c>
    </row>
    <row r="159" spans="1:13" ht="15.75" x14ac:dyDescent="0.25">
      <c r="A159" s="5" t="s">
        <v>315</v>
      </c>
      <c r="B159" s="4" t="s">
        <v>84</v>
      </c>
      <c r="C159" s="4" t="s">
        <v>84</v>
      </c>
      <c r="D159" s="12">
        <v>33532.68</v>
      </c>
      <c r="E159" s="4" t="s">
        <v>4</v>
      </c>
      <c r="F159" s="64" t="s">
        <v>4</v>
      </c>
      <c r="G159" s="53" t="s">
        <v>96</v>
      </c>
      <c r="H159" s="55">
        <v>46041</v>
      </c>
    </row>
    <row r="160" spans="1:13" ht="15.75" x14ac:dyDescent="0.25">
      <c r="A160" s="5" t="s">
        <v>316</v>
      </c>
      <c r="B160" s="4" t="s">
        <v>84</v>
      </c>
      <c r="C160" s="4" t="s">
        <v>84</v>
      </c>
      <c r="D160" s="12">
        <v>30467.46</v>
      </c>
      <c r="E160" s="4" t="s">
        <v>4</v>
      </c>
      <c r="F160" s="64" t="s">
        <v>4</v>
      </c>
      <c r="G160" s="53" t="s">
        <v>96</v>
      </c>
      <c r="H160" s="55">
        <v>46041</v>
      </c>
    </row>
    <row r="161" spans="1:15" ht="15.75" x14ac:dyDescent="0.25">
      <c r="A161" s="5" t="s">
        <v>330</v>
      </c>
      <c r="B161" s="4" t="s">
        <v>141</v>
      </c>
      <c r="C161" s="4" t="s">
        <v>39</v>
      </c>
      <c r="D161" s="13">
        <v>861.75</v>
      </c>
      <c r="E161" s="4" t="s">
        <v>4</v>
      </c>
      <c r="F161" s="64" t="s">
        <v>4</v>
      </c>
      <c r="G161" s="53" t="s">
        <v>93</v>
      </c>
      <c r="H161" s="55">
        <v>46041</v>
      </c>
    </row>
    <row r="162" spans="1:15" ht="15.75" x14ac:dyDescent="0.25">
      <c r="A162" s="5" t="s">
        <v>331</v>
      </c>
      <c r="B162" s="4" t="s">
        <v>141</v>
      </c>
      <c r="C162" s="4" t="s">
        <v>39</v>
      </c>
      <c r="D162" s="13">
        <v>902.72</v>
      </c>
      <c r="E162" s="4" t="s">
        <v>4</v>
      </c>
      <c r="F162" s="64" t="s">
        <v>4</v>
      </c>
      <c r="G162" s="53" t="s">
        <v>97</v>
      </c>
      <c r="H162" s="55">
        <v>46041</v>
      </c>
    </row>
    <row r="163" spans="1:15" ht="15.75" x14ac:dyDescent="0.25">
      <c r="A163" s="5" t="s">
        <v>161</v>
      </c>
      <c r="B163" s="4" t="s">
        <v>152</v>
      </c>
      <c r="C163" s="4" t="s">
        <v>38</v>
      </c>
      <c r="D163" s="12">
        <v>140.96</v>
      </c>
      <c r="E163" s="4" t="s">
        <v>4</v>
      </c>
      <c r="F163" s="64" t="s">
        <v>4</v>
      </c>
      <c r="G163" s="53" t="s">
        <v>103</v>
      </c>
      <c r="H163" s="55">
        <v>46041</v>
      </c>
    </row>
    <row r="164" spans="1:15" ht="15.75" x14ac:dyDescent="0.25">
      <c r="A164" s="5" t="s">
        <v>215</v>
      </c>
      <c r="B164" s="4" t="s">
        <v>152</v>
      </c>
      <c r="C164" s="4" t="s">
        <v>38</v>
      </c>
      <c r="D164" s="41">
        <v>191.08</v>
      </c>
      <c r="E164" s="4" t="s">
        <v>4</v>
      </c>
      <c r="F164" s="64" t="s">
        <v>4</v>
      </c>
      <c r="G164" s="53" t="s">
        <v>103</v>
      </c>
      <c r="H164" s="55">
        <v>46041</v>
      </c>
    </row>
    <row r="165" spans="1:15" ht="15.75" x14ac:dyDescent="0.25">
      <c r="A165" s="5" t="s">
        <v>332</v>
      </c>
      <c r="B165" s="4" t="s">
        <v>148</v>
      </c>
      <c r="C165" s="4" t="s">
        <v>38</v>
      </c>
      <c r="D165" s="28">
        <v>392.37</v>
      </c>
      <c r="E165" s="4" t="s">
        <v>4</v>
      </c>
      <c r="F165" s="64" t="s">
        <v>4</v>
      </c>
      <c r="G165" s="53" t="s">
        <v>118</v>
      </c>
      <c r="H165" s="55">
        <v>46041</v>
      </c>
    </row>
    <row r="166" spans="1:15" ht="15.75" x14ac:dyDescent="0.25">
      <c r="A166" s="5" t="s">
        <v>228</v>
      </c>
      <c r="B166" s="4" t="s">
        <v>148</v>
      </c>
      <c r="C166" s="4" t="s">
        <v>38</v>
      </c>
      <c r="D166" s="52">
        <v>200</v>
      </c>
      <c r="E166" s="4" t="s">
        <v>4</v>
      </c>
      <c r="F166" s="64" t="s">
        <v>4</v>
      </c>
      <c r="G166" s="49"/>
      <c r="H166" s="55">
        <v>46041</v>
      </c>
    </row>
    <row r="167" spans="1:15" ht="15.75" x14ac:dyDescent="0.25">
      <c r="A167" s="5" t="s">
        <v>333</v>
      </c>
      <c r="B167" s="4" t="s">
        <v>148</v>
      </c>
      <c r="C167" s="4" t="s">
        <v>38</v>
      </c>
      <c r="D167" s="12">
        <v>104.87</v>
      </c>
      <c r="E167" s="4" t="s">
        <v>4</v>
      </c>
      <c r="F167" s="64" t="s">
        <v>4</v>
      </c>
      <c r="G167" s="68"/>
      <c r="H167" s="55">
        <v>46041</v>
      </c>
    </row>
    <row r="168" spans="1:15" ht="15.75" x14ac:dyDescent="0.25">
      <c r="A168" s="5" t="s">
        <v>334</v>
      </c>
      <c r="B168" s="4" t="s">
        <v>148</v>
      </c>
      <c r="C168" s="4" t="s">
        <v>38</v>
      </c>
      <c r="D168" s="12">
        <v>104.87</v>
      </c>
      <c r="E168" s="4" t="s">
        <v>4</v>
      </c>
      <c r="F168" s="64" t="s">
        <v>4</v>
      </c>
      <c r="G168" s="68"/>
      <c r="H168" s="55">
        <v>46041</v>
      </c>
    </row>
    <row r="169" spans="1:15" ht="15.75" x14ac:dyDescent="0.25">
      <c r="A169" s="5" t="s">
        <v>335</v>
      </c>
      <c r="B169" s="4" t="s">
        <v>148</v>
      </c>
      <c r="C169" s="4" t="s">
        <v>38</v>
      </c>
      <c r="D169" s="12">
        <v>104.87</v>
      </c>
      <c r="E169" s="4" t="s">
        <v>4</v>
      </c>
      <c r="F169" s="64" t="s">
        <v>4</v>
      </c>
      <c r="G169" s="68"/>
      <c r="H169" s="55">
        <v>46041</v>
      </c>
    </row>
    <row r="170" spans="1:15" ht="15.75" x14ac:dyDescent="0.25">
      <c r="A170" s="5" t="s">
        <v>336</v>
      </c>
      <c r="B170" s="4" t="s">
        <v>148</v>
      </c>
      <c r="C170" s="4" t="s">
        <v>38</v>
      </c>
      <c r="D170" s="12">
        <v>104.87</v>
      </c>
      <c r="E170" s="4" t="s">
        <v>4</v>
      </c>
      <c r="F170" s="64" t="s">
        <v>4</v>
      </c>
      <c r="G170" s="68"/>
      <c r="H170" s="55">
        <v>46041</v>
      </c>
    </row>
    <row r="171" spans="1:15" ht="15.75" x14ac:dyDescent="0.25">
      <c r="A171" s="5" t="s">
        <v>337</v>
      </c>
      <c r="B171" s="4" t="s">
        <v>148</v>
      </c>
      <c r="C171" s="4" t="s">
        <v>38</v>
      </c>
      <c r="D171" s="12">
        <v>24.85</v>
      </c>
      <c r="E171" s="4" t="s">
        <v>4</v>
      </c>
      <c r="F171" s="64" t="s">
        <v>4</v>
      </c>
      <c r="G171" s="68"/>
      <c r="H171" s="55">
        <v>46041</v>
      </c>
      <c r="K171" s="76"/>
      <c r="L171" s="77"/>
      <c r="M171" s="76"/>
      <c r="N171" s="76"/>
      <c r="O171" s="76"/>
    </row>
    <row r="172" spans="1:15" ht="15.75" x14ac:dyDescent="0.25">
      <c r="A172" s="5" t="s">
        <v>207</v>
      </c>
      <c r="B172" s="4" t="s">
        <v>148</v>
      </c>
      <c r="C172" s="4" t="s">
        <v>38</v>
      </c>
      <c r="D172" s="33">
        <v>55</v>
      </c>
      <c r="E172" s="4" t="s">
        <v>4</v>
      </c>
      <c r="F172" s="64" t="s">
        <v>4</v>
      </c>
      <c r="G172" s="23"/>
      <c r="H172" s="55">
        <v>46041</v>
      </c>
      <c r="K172" s="76"/>
      <c r="L172" s="76"/>
      <c r="M172" s="76"/>
      <c r="N172" s="76"/>
      <c r="O172" s="76"/>
    </row>
    <row r="173" spans="1:15" ht="15.75" x14ac:dyDescent="0.25">
      <c r="A173" s="5" t="s">
        <v>87</v>
      </c>
      <c r="B173" s="4" t="s">
        <v>150</v>
      </c>
      <c r="C173" s="4" t="s">
        <v>38</v>
      </c>
      <c r="D173" s="33">
        <v>120</v>
      </c>
      <c r="E173" s="4" t="s">
        <v>4</v>
      </c>
      <c r="F173" s="64" t="s">
        <v>4</v>
      </c>
      <c r="G173" s="23"/>
      <c r="H173" s="55">
        <v>46041</v>
      </c>
      <c r="K173" s="76"/>
      <c r="L173" s="76"/>
      <c r="M173" s="76"/>
      <c r="N173" s="76"/>
      <c r="O173" s="76"/>
    </row>
    <row r="174" spans="1:15" ht="15.75" x14ac:dyDescent="0.25">
      <c r="A174" s="5" t="s">
        <v>28</v>
      </c>
      <c r="B174" s="44" t="s">
        <v>152</v>
      </c>
      <c r="C174" s="44" t="s">
        <v>38</v>
      </c>
      <c r="D174" s="13">
        <v>52.97</v>
      </c>
      <c r="E174" s="4" t="s">
        <v>4</v>
      </c>
      <c r="F174" s="64" t="s">
        <v>4</v>
      </c>
      <c r="G174" s="53" t="s">
        <v>92</v>
      </c>
      <c r="H174" s="55">
        <v>46041</v>
      </c>
      <c r="K174" s="76"/>
      <c r="L174" s="76"/>
      <c r="M174" s="76"/>
      <c r="N174" s="76"/>
      <c r="O174" s="76"/>
    </row>
    <row r="175" spans="1:15" ht="15.75" x14ac:dyDescent="0.25">
      <c r="A175" s="5" t="s">
        <v>43</v>
      </c>
      <c r="B175" s="4" t="s">
        <v>149</v>
      </c>
      <c r="C175" s="4" t="s">
        <v>126</v>
      </c>
      <c r="D175" s="12">
        <v>87.58</v>
      </c>
      <c r="E175" s="4" t="s">
        <v>4</v>
      </c>
      <c r="F175" s="64" t="s">
        <v>4</v>
      </c>
      <c r="G175" s="53" t="s">
        <v>100</v>
      </c>
      <c r="H175" s="55">
        <v>46041</v>
      </c>
      <c r="K175" s="76"/>
      <c r="L175" s="76"/>
      <c r="M175" s="76"/>
      <c r="N175" s="76"/>
      <c r="O175" s="76"/>
    </row>
    <row r="176" spans="1:15" ht="15.75" x14ac:dyDescent="0.25">
      <c r="A176" s="5" t="s">
        <v>43</v>
      </c>
      <c r="B176" s="4" t="s">
        <v>149</v>
      </c>
      <c r="C176" s="4" t="s">
        <v>126</v>
      </c>
      <c r="D176" s="14">
        <v>-85.82</v>
      </c>
      <c r="E176" s="4" t="s">
        <v>4</v>
      </c>
      <c r="F176" s="64" t="s">
        <v>4</v>
      </c>
      <c r="G176" s="68"/>
      <c r="H176" s="73">
        <v>46041</v>
      </c>
      <c r="K176" s="76"/>
      <c r="L176" s="76"/>
      <c r="M176" s="76"/>
      <c r="N176" s="76"/>
      <c r="O176" s="76"/>
    </row>
    <row r="177" spans="1:15" ht="15.75" x14ac:dyDescent="0.25">
      <c r="A177" s="5" t="s">
        <v>82</v>
      </c>
      <c r="B177" s="4" t="s">
        <v>148</v>
      </c>
      <c r="C177" s="4" t="s">
        <v>38</v>
      </c>
      <c r="D177" s="13">
        <v>46.25</v>
      </c>
      <c r="E177" s="4" t="s">
        <v>4</v>
      </c>
      <c r="F177" s="64" t="s">
        <v>4</v>
      </c>
      <c r="G177" s="53" t="s">
        <v>90</v>
      </c>
      <c r="H177" s="55">
        <v>46042</v>
      </c>
      <c r="K177" s="76"/>
      <c r="L177" s="76"/>
      <c r="M177" s="76"/>
      <c r="N177" s="76"/>
      <c r="O177" s="76"/>
    </row>
    <row r="178" spans="1:15" ht="15.75" x14ac:dyDescent="0.25">
      <c r="A178" s="5" t="s">
        <v>83</v>
      </c>
      <c r="B178" s="4" t="s">
        <v>148</v>
      </c>
      <c r="C178" s="4" t="s">
        <v>38</v>
      </c>
      <c r="D178" s="12">
        <v>100</v>
      </c>
      <c r="E178" s="4" t="s">
        <v>4</v>
      </c>
      <c r="F178" s="64" t="s">
        <v>4</v>
      </c>
      <c r="G178" s="23"/>
      <c r="H178" s="55">
        <v>46042</v>
      </c>
      <c r="K178" s="76"/>
      <c r="L178" s="76"/>
      <c r="M178" s="76"/>
      <c r="N178" s="76"/>
      <c r="O178" s="76"/>
    </row>
    <row r="179" spans="1:15" ht="15.75" x14ac:dyDescent="0.25">
      <c r="A179" s="5" t="s">
        <v>338</v>
      </c>
      <c r="B179" s="44" t="s">
        <v>15</v>
      </c>
      <c r="C179" s="44" t="s">
        <v>15</v>
      </c>
      <c r="D179" s="12">
        <v>1012</v>
      </c>
      <c r="E179" s="4" t="s">
        <v>4</v>
      </c>
      <c r="F179" s="64" t="s">
        <v>4</v>
      </c>
      <c r="G179" s="68"/>
      <c r="H179" s="55">
        <v>46042</v>
      </c>
      <c r="K179" s="76"/>
      <c r="L179" s="76"/>
      <c r="M179" s="76"/>
      <c r="N179" s="76"/>
      <c r="O179" s="76"/>
    </row>
    <row r="180" spans="1:15" ht="15.75" x14ac:dyDescent="0.25">
      <c r="A180" s="5" t="s">
        <v>192</v>
      </c>
      <c r="B180" s="4" t="s">
        <v>138</v>
      </c>
      <c r="C180" s="4" t="s">
        <v>39</v>
      </c>
      <c r="D180" s="12">
        <v>351.26</v>
      </c>
      <c r="E180" s="44" t="s">
        <v>4</v>
      </c>
      <c r="F180" s="64" t="s">
        <v>4</v>
      </c>
      <c r="G180" s="53" t="s">
        <v>96</v>
      </c>
      <c r="H180" s="55">
        <v>46042</v>
      </c>
      <c r="K180" s="76"/>
      <c r="L180" s="76"/>
      <c r="M180" s="76"/>
      <c r="N180" s="76"/>
      <c r="O180" s="76"/>
    </row>
    <row r="181" spans="1:15" ht="15.75" x14ac:dyDescent="0.25">
      <c r="A181" s="5" t="s">
        <v>339</v>
      </c>
      <c r="B181" s="44" t="s">
        <v>84</v>
      </c>
      <c r="C181" s="44" t="s">
        <v>84</v>
      </c>
      <c r="D181" s="12">
        <v>2303.6799999999998</v>
      </c>
      <c r="E181" s="44" t="s">
        <v>4</v>
      </c>
      <c r="F181" s="64" t="s">
        <v>4</v>
      </c>
      <c r="G181" s="68"/>
      <c r="H181" s="55">
        <v>46042</v>
      </c>
      <c r="K181" s="76"/>
      <c r="L181" s="76"/>
      <c r="M181" s="76"/>
      <c r="N181" s="76"/>
      <c r="O181" s="76"/>
    </row>
    <row r="182" spans="1:15" ht="15.75" x14ac:dyDescent="0.25">
      <c r="A182" s="5" t="s">
        <v>340</v>
      </c>
      <c r="B182" s="44" t="s">
        <v>84</v>
      </c>
      <c r="C182" s="44" t="s">
        <v>84</v>
      </c>
      <c r="D182" s="12">
        <v>2303.6799999999998</v>
      </c>
      <c r="E182" s="44" t="s">
        <v>4</v>
      </c>
      <c r="F182" s="64" t="s">
        <v>4</v>
      </c>
      <c r="G182" s="68"/>
      <c r="H182" s="55">
        <v>46042</v>
      </c>
      <c r="K182" s="76"/>
      <c r="L182" s="76"/>
      <c r="M182" s="76"/>
      <c r="N182" s="76"/>
      <c r="O182" s="76"/>
    </row>
    <row r="183" spans="1:15" ht="15.75" x14ac:dyDescent="0.25">
      <c r="A183" s="5" t="s">
        <v>341</v>
      </c>
      <c r="B183" s="44" t="s">
        <v>148</v>
      </c>
      <c r="C183" s="44" t="s">
        <v>38</v>
      </c>
      <c r="D183" s="12">
        <v>75</v>
      </c>
      <c r="E183" s="44" t="s">
        <v>4</v>
      </c>
      <c r="F183" s="64" t="s">
        <v>4</v>
      </c>
      <c r="G183" s="68"/>
      <c r="H183" s="55">
        <v>46042</v>
      </c>
      <c r="K183" s="76"/>
      <c r="L183" s="76"/>
      <c r="M183" s="76"/>
      <c r="N183" s="76"/>
      <c r="O183" s="76"/>
    </row>
    <row r="184" spans="1:15" ht="15.75" x14ac:dyDescent="0.25">
      <c r="A184" s="5" t="s">
        <v>342</v>
      </c>
      <c r="B184" s="44" t="s">
        <v>15</v>
      </c>
      <c r="C184" s="44" t="s">
        <v>15</v>
      </c>
      <c r="D184" s="12">
        <v>356</v>
      </c>
      <c r="E184" s="44" t="s">
        <v>4</v>
      </c>
      <c r="F184" s="64" t="s">
        <v>4</v>
      </c>
      <c r="G184" s="68"/>
      <c r="H184" s="55">
        <v>46042</v>
      </c>
    </row>
    <row r="185" spans="1:15" ht="15.75" x14ac:dyDescent="0.25">
      <c r="A185" s="5" t="s">
        <v>343</v>
      </c>
      <c r="B185" s="44" t="s">
        <v>148</v>
      </c>
      <c r="C185" s="44" t="s">
        <v>38</v>
      </c>
      <c r="D185" s="14">
        <v>-100</v>
      </c>
      <c r="E185" s="44" t="s">
        <v>4</v>
      </c>
      <c r="F185" s="64" t="s">
        <v>4</v>
      </c>
      <c r="G185" s="68"/>
      <c r="H185" s="55">
        <v>46042</v>
      </c>
    </row>
    <row r="186" spans="1:15" ht="15.75" x14ac:dyDescent="0.25">
      <c r="A186" s="5" t="s">
        <v>343</v>
      </c>
      <c r="B186" s="44" t="s">
        <v>148</v>
      </c>
      <c r="C186" s="44" t="s">
        <v>38</v>
      </c>
      <c r="D186" s="12">
        <v>150</v>
      </c>
      <c r="E186" s="44" t="s">
        <v>4</v>
      </c>
      <c r="F186" s="64" t="s">
        <v>4</v>
      </c>
      <c r="G186" s="68"/>
      <c r="H186" s="55">
        <v>46042</v>
      </c>
    </row>
    <row r="187" spans="1:15" ht="15.75" x14ac:dyDescent="0.25">
      <c r="A187" s="5" t="s">
        <v>344</v>
      </c>
      <c r="B187" s="44" t="s">
        <v>148</v>
      </c>
      <c r="C187" s="44" t="s">
        <v>38</v>
      </c>
      <c r="D187" s="12">
        <v>45</v>
      </c>
      <c r="E187" s="44" t="s">
        <v>4</v>
      </c>
      <c r="F187" s="64" t="s">
        <v>4</v>
      </c>
      <c r="G187" s="68"/>
      <c r="H187" s="55">
        <v>46042</v>
      </c>
      <c r="J187" s="26"/>
    </row>
    <row r="188" spans="1:15" ht="15.75" x14ac:dyDescent="0.25">
      <c r="A188" s="5" t="s">
        <v>345</v>
      </c>
      <c r="B188" s="75"/>
      <c r="C188" s="75"/>
      <c r="D188" s="14">
        <v>24</v>
      </c>
      <c r="E188" s="44" t="s">
        <v>4</v>
      </c>
      <c r="F188" s="64" t="s">
        <v>4</v>
      </c>
      <c r="G188" s="68"/>
      <c r="H188" s="55">
        <v>46042</v>
      </c>
    </row>
    <row r="189" spans="1:15" ht="15.75" x14ac:dyDescent="0.25">
      <c r="A189" s="5" t="s">
        <v>346</v>
      </c>
      <c r="B189" s="44" t="s">
        <v>148</v>
      </c>
      <c r="C189" s="44" t="s">
        <v>38</v>
      </c>
      <c r="D189" s="12">
        <v>50</v>
      </c>
      <c r="E189" s="44" t="s">
        <v>4</v>
      </c>
      <c r="F189" s="64" t="s">
        <v>4</v>
      </c>
      <c r="G189" s="68"/>
      <c r="H189" s="55">
        <v>46042</v>
      </c>
    </row>
    <row r="190" spans="1:15" ht="15.75" x14ac:dyDescent="0.25">
      <c r="A190" s="5" t="s">
        <v>42</v>
      </c>
      <c r="B190" s="44" t="s">
        <v>148</v>
      </c>
      <c r="C190" s="44" t="s">
        <v>38</v>
      </c>
      <c r="D190" s="12">
        <v>200</v>
      </c>
      <c r="E190" s="44" t="s">
        <v>4</v>
      </c>
      <c r="F190" s="64" t="s">
        <v>4</v>
      </c>
      <c r="G190" s="68"/>
      <c r="H190" s="55">
        <v>46042</v>
      </c>
    </row>
    <row r="191" spans="1:15" ht="15.75" x14ac:dyDescent="0.25">
      <c r="A191" s="5" t="s">
        <v>351</v>
      </c>
      <c r="B191" s="44" t="s">
        <v>148</v>
      </c>
      <c r="C191" s="44" t="s">
        <v>38</v>
      </c>
      <c r="D191" s="12">
        <v>90</v>
      </c>
      <c r="E191" s="44" t="s">
        <v>4</v>
      </c>
      <c r="F191" s="64" t="s">
        <v>4</v>
      </c>
      <c r="G191" s="68"/>
      <c r="H191" s="73">
        <v>46044</v>
      </c>
    </row>
    <row r="192" spans="1:15" ht="15.75" x14ac:dyDescent="0.25">
      <c r="A192" s="5" t="s">
        <v>352</v>
      </c>
      <c r="B192" s="44" t="s">
        <v>135</v>
      </c>
      <c r="C192" s="44" t="s">
        <v>38</v>
      </c>
      <c r="D192" s="12">
        <v>750</v>
      </c>
      <c r="E192" s="44" t="s">
        <v>4</v>
      </c>
      <c r="F192" s="64" t="s">
        <v>4</v>
      </c>
      <c r="G192" s="68"/>
      <c r="H192" s="73">
        <v>46044</v>
      </c>
    </row>
    <row r="193" spans="1:8" ht="15.75" x14ac:dyDescent="0.25">
      <c r="A193" s="5" t="s">
        <v>353</v>
      </c>
      <c r="B193" s="44" t="s">
        <v>148</v>
      </c>
      <c r="C193" s="44" t="s">
        <v>38</v>
      </c>
      <c r="D193" s="12">
        <v>35</v>
      </c>
      <c r="E193" s="44" t="s">
        <v>4</v>
      </c>
      <c r="F193" s="64" t="s">
        <v>4</v>
      </c>
      <c r="G193" s="68"/>
      <c r="H193" s="73">
        <v>46044</v>
      </c>
    </row>
    <row r="194" spans="1:8" ht="15.75" x14ac:dyDescent="0.25">
      <c r="A194" s="5" t="s">
        <v>354</v>
      </c>
      <c r="B194" s="44" t="s">
        <v>148</v>
      </c>
      <c r="C194" s="44" t="s">
        <v>38</v>
      </c>
      <c r="D194" s="12">
        <v>85</v>
      </c>
      <c r="E194" s="44" t="s">
        <v>4</v>
      </c>
      <c r="F194" s="64" t="s">
        <v>4</v>
      </c>
      <c r="G194" s="68"/>
      <c r="H194" s="73">
        <v>46044</v>
      </c>
    </row>
    <row r="195" spans="1:8" ht="15.75" x14ac:dyDescent="0.25">
      <c r="A195" s="5" t="s">
        <v>355</v>
      </c>
      <c r="B195" s="44" t="s">
        <v>148</v>
      </c>
      <c r="C195" s="44" t="s">
        <v>39</v>
      </c>
      <c r="D195" s="12">
        <v>50</v>
      </c>
      <c r="E195" s="44" t="s">
        <v>4</v>
      </c>
      <c r="F195" s="64" t="s">
        <v>4</v>
      </c>
      <c r="G195" s="68"/>
      <c r="H195" s="73">
        <v>46044</v>
      </c>
    </row>
    <row r="196" spans="1:8" ht="15.75" x14ac:dyDescent="0.25">
      <c r="A196" s="5" t="s">
        <v>35</v>
      </c>
      <c r="B196" s="44" t="s">
        <v>148</v>
      </c>
      <c r="C196" s="44" t="s">
        <v>38</v>
      </c>
      <c r="D196" s="12">
        <v>127.86</v>
      </c>
      <c r="E196" s="44" t="s">
        <v>4</v>
      </c>
      <c r="F196" s="64" t="s">
        <v>4</v>
      </c>
      <c r="G196" s="68"/>
      <c r="H196" s="73">
        <v>46044</v>
      </c>
    </row>
    <row r="197" spans="1:8" ht="15.75" x14ac:dyDescent="0.25">
      <c r="A197" s="5" t="s">
        <v>358</v>
      </c>
      <c r="B197" s="44" t="s">
        <v>136</v>
      </c>
      <c r="C197" s="44" t="s">
        <v>39</v>
      </c>
      <c r="D197" s="12">
        <v>341.29</v>
      </c>
      <c r="E197" s="44" t="s">
        <v>4</v>
      </c>
      <c r="F197" s="64" t="s">
        <v>4</v>
      </c>
      <c r="G197" s="68"/>
      <c r="H197" s="73">
        <v>46044</v>
      </c>
    </row>
    <row r="198" spans="1:8" ht="15.75" x14ac:dyDescent="0.25">
      <c r="A198" s="5" t="s">
        <v>362</v>
      </c>
      <c r="B198" s="44" t="s">
        <v>15</v>
      </c>
      <c r="C198" s="44" t="s">
        <v>15</v>
      </c>
      <c r="D198" s="12">
        <v>150</v>
      </c>
      <c r="E198" s="44" t="s">
        <v>4</v>
      </c>
      <c r="F198" s="64" t="s">
        <v>4</v>
      </c>
      <c r="G198" s="68"/>
      <c r="H198" s="73">
        <v>46045</v>
      </c>
    </row>
    <row r="199" spans="1:8" ht="15.75" x14ac:dyDescent="0.25">
      <c r="A199" s="5" t="s">
        <v>359</v>
      </c>
      <c r="B199" s="44" t="s">
        <v>15</v>
      </c>
      <c r="C199" s="44" t="s">
        <v>15</v>
      </c>
      <c r="D199" s="12">
        <v>600</v>
      </c>
      <c r="E199" s="44" t="s">
        <v>4</v>
      </c>
      <c r="F199" s="64" t="s">
        <v>4</v>
      </c>
      <c r="G199" s="68"/>
      <c r="H199" s="73">
        <v>46045</v>
      </c>
    </row>
    <row r="200" spans="1:8" ht="15.75" x14ac:dyDescent="0.25">
      <c r="A200" s="5" t="s">
        <v>360</v>
      </c>
      <c r="B200" s="44" t="s">
        <v>15</v>
      </c>
      <c r="C200" s="44" t="s">
        <v>15</v>
      </c>
      <c r="D200" s="12">
        <v>900</v>
      </c>
      <c r="E200" s="44" t="s">
        <v>4</v>
      </c>
      <c r="F200" s="64" t="s">
        <v>4</v>
      </c>
      <c r="G200" s="68"/>
      <c r="H200" s="73">
        <v>46045</v>
      </c>
    </row>
    <row r="201" spans="1:8" ht="15.75" x14ac:dyDescent="0.25">
      <c r="A201" s="5" t="s">
        <v>361</v>
      </c>
      <c r="B201" s="44" t="s">
        <v>15</v>
      </c>
      <c r="C201" s="44" t="s">
        <v>15</v>
      </c>
      <c r="D201" s="12">
        <v>50</v>
      </c>
      <c r="E201" s="44" t="s">
        <v>4</v>
      </c>
      <c r="F201" s="64" t="s">
        <v>4</v>
      </c>
      <c r="G201" s="68"/>
      <c r="H201" s="73">
        <v>46045</v>
      </c>
    </row>
    <row r="202" spans="1:8" ht="15.75" x14ac:dyDescent="0.25">
      <c r="A202" s="5" t="s">
        <v>363</v>
      </c>
      <c r="B202" s="44" t="s">
        <v>15</v>
      </c>
      <c r="C202" s="44" t="s">
        <v>15</v>
      </c>
      <c r="D202" s="12">
        <v>600</v>
      </c>
      <c r="E202" s="44" t="s">
        <v>4</v>
      </c>
      <c r="F202" s="64" t="s">
        <v>4</v>
      </c>
      <c r="G202" s="68"/>
      <c r="H202" s="73">
        <v>46045</v>
      </c>
    </row>
    <row r="203" spans="1:8" ht="15.75" x14ac:dyDescent="0.25">
      <c r="A203" s="5" t="s">
        <v>364</v>
      </c>
      <c r="B203" s="44" t="s">
        <v>15</v>
      </c>
      <c r="C203" s="44" t="s">
        <v>15</v>
      </c>
      <c r="D203" s="12">
        <v>150</v>
      </c>
      <c r="E203" s="44" t="s">
        <v>4</v>
      </c>
      <c r="F203" s="64" t="s">
        <v>4</v>
      </c>
      <c r="G203" s="68"/>
      <c r="H203" s="73">
        <v>46045</v>
      </c>
    </row>
    <row r="204" spans="1:8" ht="15.75" x14ac:dyDescent="0.25">
      <c r="A204" s="5" t="s">
        <v>193</v>
      </c>
      <c r="B204" s="44" t="s">
        <v>148</v>
      </c>
      <c r="C204" s="44" t="s">
        <v>38</v>
      </c>
      <c r="D204" s="12">
        <v>130</v>
      </c>
      <c r="E204" s="44" t="s">
        <v>4</v>
      </c>
      <c r="F204" s="64" t="s">
        <v>4</v>
      </c>
      <c r="G204" s="68"/>
      <c r="H204" s="73">
        <v>46045</v>
      </c>
    </row>
    <row r="205" spans="1:8" ht="15.75" x14ac:dyDescent="0.25">
      <c r="A205" s="5" t="s">
        <v>220</v>
      </c>
      <c r="B205" s="44" t="s">
        <v>135</v>
      </c>
      <c r="C205" s="44" t="s">
        <v>38</v>
      </c>
      <c r="D205" s="12">
        <v>170</v>
      </c>
      <c r="E205" s="44" t="s">
        <v>4</v>
      </c>
      <c r="F205" s="64" t="s">
        <v>4</v>
      </c>
      <c r="G205" s="68"/>
      <c r="H205" s="73">
        <v>46045</v>
      </c>
    </row>
    <row r="206" spans="1:8" ht="15.75" x14ac:dyDescent="0.25">
      <c r="A206" s="5" t="s">
        <v>365</v>
      </c>
      <c r="B206" s="44" t="s">
        <v>148</v>
      </c>
      <c r="C206" s="44" t="s">
        <v>38</v>
      </c>
      <c r="D206" s="12">
        <v>266.08999999999997</v>
      </c>
      <c r="E206" s="44" t="s">
        <v>4</v>
      </c>
      <c r="F206" s="64" t="s">
        <v>4</v>
      </c>
      <c r="G206" s="68"/>
      <c r="H206" s="73">
        <v>46048</v>
      </c>
    </row>
    <row r="207" spans="1:8" ht="15.75" x14ac:dyDescent="0.25">
      <c r="A207" s="5" t="s">
        <v>369</v>
      </c>
      <c r="B207" s="44" t="s">
        <v>148</v>
      </c>
      <c r="C207" s="44" t="s">
        <v>38</v>
      </c>
      <c r="D207" s="12">
        <v>197.18</v>
      </c>
      <c r="E207" s="44" t="s">
        <v>4</v>
      </c>
      <c r="F207" s="64" t="s">
        <v>4</v>
      </c>
      <c r="G207" s="68"/>
      <c r="H207" s="73">
        <v>46048</v>
      </c>
    </row>
    <row r="208" spans="1:8" ht="15.75" x14ac:dyDescent="0.25">
      <c r="A208" s="5" t="s">
        <v>368</v>
      </c>
      <c r="B208" s="44" t="s">
        <v>135</v>
      </c>
      <c r="C208" s="44" t="s">
        <v>39</v>
      </c>
      <c r="D208" s="12">
        <v>150</v>
      </c>
      <c r="E208" s="44" t="s">
        <v>4</v>
      </c>
      <c r="F208" s="64" t="s">
        <v>4</v>
      </c>
      <c r="G208" s="68"/>
      <c r="H208" s="73">
        <v>46048</v>
      </c>
    </row>
    <row r="209" spans="1:8" ht="15.75" x14ac:dyDescent="0.25">
      <c r="A209" s="5" t="s">
        <v>216</v>
      </c>
      <c r="B209" s="4" t="s">
        <v>148</v>
      </c>
      <c r="C209" s="4" t="s">
        <v>38</v>
      </c>
      <c r="D209" s="52">
        <v>500</v>
      </c>
      <c r="E209" s="44" t="s">
        <v>4</v>
      </c>
      <c r="F209" s="64" t="s">
        <v>4</v>
      </c>
      <c r="G209" s="49"/>
      <c r="H209" s="73">
        <v>46048</v>
      </c>
    </row>
    <row r="210" spans="1:8" ht="15.75" x14ac:dyDescent="0.25">
      <c r="A210" s="5" t="s">
        <v>83</v>
      </c>
      <c r="B210" s="4" t="s">
        <v>150</v>
      </c>
      <c r="C210" s="4" t="s">
        <v>38</v>
      </c>
      <c r="D210" s="63">
        <v>100</v>
      </c>
      <c r="E210" s="44" t="s">
        <v>4</v>
      </c>
      <c r="F210" s="64" t="s">
        <v>4</v>
      </c>
      <c r="G210" s="62"/>
      <c r="H210" s="73">
        <v>46048</v>
      </c>
    </row>
    <row r="211" spans="1:8" ht="15.75" x14ac:dyDescent="0.25">
      <c r="A211" s="5" t="s">
        <v>87</v>
      </c>
      <c r="B211" s="44" t="s">
        <v>150</v>
      </c>
      <c r="C211" s="44" t="s">
        <v>38</v>
      </c>
      <c r="D211" s="12">
        <v>120</v>
      </c>
      <c r="E211" s="44" t="s">
        <v>4</v>
      </c>
      <c r="F211" s="64" t="s">
        <v>4</v>
      </c>
      <c r="G211" s="68"/>
      <c r="H211" s="73">
        <v>46048</v>
      </c>
    </row>
    <row r="212" spans="1:8" ht="15.75" x14ac:dyDescent="0.25">
      <c r="A212" s="5" t="s">
        <v>366</v>
      </c>
      <c r="B212" s="44" t="s">
        <v>148</v>
      </c>
      <c r="C212" s="44" t="s">
        <v>39</v>
      </c>
      <c r="D212" s="12">
        <v>330</v>
      </c>
      <c r="E212" s="44" t="s">
        <v>4</v>
      </c>
      <c r="F212" s="64" t="s">
        <v>4</v>
      </c>
      <c r="G212" s="68"/>
      <c r="H212" s="73">
        <v>46049</v>
      </c>
    </row>
    <row r="213" spans="1:8" ht="15.75" x14ac:dyDescent="0.25">
      <c r="A213" s="5" t="s">
        <v>367</v>
      </c>
      <c r="B213" s="44" t="s">
        <v>148</v>
      </c>
      <c r="C213" s="44" t="s">
        <v>39</v>
      </c>
      <c r="D213" s="12">
        <v>117</v>
      </c>
      <c r="E213" s="44" t="s">
        <v>4</v>
      </c>
      <c r="F213" s="64" t="s">
        <v>4</v>
      </c>
      <c r="G213" s="68"/>
      <c r="H213" s="73">
        <v>46049</v>
      </c>
    </row>
    <row r="214" spans="1:8" ht="15.75" x14ac:dyDescent="0.25">
      <c r="A214" s="5" t="s">
        <v>373</v>
      </c>
      <c r="B214" s="44" t="s">
        <v>135</v>
      </c>
      <c r="C214" s="44" t="s">
        <v>39</v>
      </c>
      <c r="D214" s="12">
        <v>50</v>
      </c>
      <c r="E214" s="44" t="s">
        <v>4</v>
      </c>
      <c r="F214" s="64" t="s">
        <v>4</v>
      </c>
      <c r="G214" s="68"/>
      <c r="H214" s="73">
        <v>46049</v>
      </c>
    </row>
    <row r="215" spans="1:8" ht="15.75" x14ac:dyDescent="0.25">
      <c r="A215" s="5" t="s">
        <v>374</v>
      </c>
      <c r="B215" s="44" t="s">
        <v>148</v>
      </c>
      <c r="C215" s="44" t="s">
        <v>39</v>
      </c>
      <c r="D215" s="12">
        <v>100</v>
      </c>
      <c r="E215" s="44" t="s">
        <v>4</v>
      </c>
      <c r="F215" s="64" t="s">
        <v>4</v>
      </c>
      <c r="G215" s="68"/>
      <c r="H215" s="73">
        <v>46049</v>
      </c>
    </row>
    <row r="216" spans="1:8" ht="15.75" x14ac:dyDescent="0.25">
      <c r="A216" s="5" t="s">
        <v>375</v>
      </c>
      <c r="B216" s="44" t="s">
        <v>135</v>
      </c>
      <c r="C216" s="44" t="s">
        <v>38</v>
      </c>
      <c r="D216" s="12">
        <v>59.9</v>
      </c>
      <c r="E216" s="44" t="s">
        <v>4</v>
      </c>
      <c r="F216" s="64" t="s">
        <v>4</v>
      </c>
      <c r="G216" s="68"/>
      <c r="H216" s="73">
        <v>46049</v>
      </c>
    </row>
    <row r="217" spans="1:8" ht="15" customHeight="1" x14ac:dyDescent="0.25">
      <c r="A217" s="5" t="s">
        <v>181</v>
      </c>
      <c r="B217" s="44" t="s">
        <v>136</v>
      </c>
      <c r="C217" s="44" t="s">
        <v>39</v>
      </c>
      <c r="D217" s="12">
        <v>141.05000000000001</v>
      </c>
      <c r="E217" s="44" t="s">
        <v>4</v>
      </c>
      <c r="F217" s="64" t="s">
        <v>4</v>
      </c>
      <c r="G217" s="68"/>
      <c r="H217" s="73">
        <v>46049</v>
      </c>
    </row>
    <row r="218" spans="1:8" ht="15" customHeight="1" x14ac:dyDescent="0.25">
      <c r="A218" s="5" t="s">
        <v>42</v>
      </c>
      <c r="B218" s="44" t="s">
        <v>150</v>
      </c>
      <c r="C218" s="44" t="s">
        <v>38</v>
      </c>
      <c r="D218" s="12">
        <v>200</v>
      </c>
      <c r="E218" s="44" t="s">
        <v>4</v>
      </c>
      <c r="F218" s="64" t="s">
        <v>4</v>
      </c>
      <c r="G218" s="68"/>
      <c r="H218" s="73">
        <v>46050</v>
      </c>
    </row>
    <row r="219" spans="1:8" ht="15" customHeight="1" x14ac:dyDescent="0.25">
      <c r="A219" s="5" t="s">
        <v>202</v>
      </c>
      <c r="B219" s="44" t="s">
        <v>148</v>
      </c>
      <c r="C219" s="44" t="s">
        <v>39</v>
      </c>
      <c r="D219" s="12">
        <v>35</v>
      </c>
      <c r="E219" s="44" t="s">
        <v>378</v>
      </c>
      <c r="F219" s="64" t="s">
        <v>4</v>
      </c>
      <c r="G219" s="68"/>
      <c r="H219" s="73">
        <v>46051</v>
      </c>
    </row>
    <row r="220" spans="1:8" ht="15" customHeight="1" x14ac:dyDescent="0.25">
      <c r="A220" s="5" t="s">
        <v>377</v>
      </c>
      <c r="B220" s="4" t="s">
        <v>84</v>
      </c>
      <c r="C220" s="4" t="s">
        <v>84</v>
      </c>
      <c r="D220" s="12">
        <v>68.61</v>
      </c>
      <c r="E220" s="44" t="s">
        <v>378</v>
      </c>
      <c r="F220" s="64" t="s">
        <v>4</v>
      </c>
      <c r="G220" s="68"/>
      <c r="H220" s="73">
        <v>46051</v>
      </c>
    </row>
    <row r="221" spans="1:8" ht="15" customHeight="1" x14ac:dyDescent="0.25">
      <c r="A221" s="5" t="s">
        <v>377</v>
      </c>
      <c r="B221" s="4" t="s">
        <v>84</v>
      </c>
      <c r="C221" s="4" t="s">
        <v>84</v>
      </c>
      <c r="D221" s="14">
        <v>-67</v>
      </c>
      <c r="E221" s="44" t="s">
        <v>378</v>
      </c>
      <c r="F221" s="64" t="s">
        <v>4</v>
      </c>
      <c r="G221" s="68"/>
      <c r="H221" s="73">
        <v>46051</v>
      </c>
    </row>
    <row r="222" spans="1:8" ht="15" customHeight="1" x14ac:dyDescent="0.25">
      <c r="A222" s="5" t="s">
        <v>380</v>
      </c>
      <c r="B222" s="4" t="s">
        <v>84</v>
      </c>
      <c r="C222" s="4" t="s">
        <v>84</v>
      </c>
      <c r="D222" s="12">
        <v>69.58</v>
      </c>
      <c r="E222" s="44" t="s">
        <v>4</v>
      </c>
      <c r="F222" s="64" t="s">
        <v>4</v>
      </c>
      <c r="G222" s="68"/>
      <c r="H222" s="73">
        <v>46052</v>
      </c>
    </row>
    <row r="223" spans="1:8" ht="15" customHeight="1" x14ac:dyDescent="0.25">
      <c r="A223" s="5" t="s">
        <v>385</v>
      </c>
      <c r="B223" s="4" t="s">
        <v>148</v>
      </c>
      <c r="C223" s="4" t="s">
        <v>39</v>
      </c>
      <c r="D223" s="12">
        <v>100</v>
      </c>
      <c r="E223" s="44" t="s">
        <v>4</v>
      </c>
      <c r="F223" s="64" t="s">
        <v>4</v>
      </c>
      <c r="G223" s="23"/>
      <c r="H223" s="73">
        <v>46052</v>
      </c>
    </row>
    <row r="224" spans="1:8" ht="15" customHeight="1" x14ac:dyDescent="0.25">
      <c r="A224" s="5" t="s">
        <v>384</v>
      </c>
      <c r="B224" s="4" t="s">
        <v>15</v>
      </c>
      <c r="C224" s="4" t="s">
        <v>15</v>
      </c>
      <c r="D224" s="12">
        <v>450</v>
      </c>
      <c r="E224" s="44" t="s">
        <v>4</v>
      </c>
      <c r="F224" s="64" t="s">
        <v>4</v>
      </c>
      <c r="G224" s="23"/>
      <c r="H224" s="73">
        <v>46052</v>
      </c>
    </row>
    <row r="225" spans="1:8" ht="15" customHeight="1" x14ac:dyDescent="0.25">
      <c r="A225" s="5" t="s">
        <v>386</v>
      </c>
      <c r="B225" s="4" t="s">
        <v>15</v>
      </c>
      <c r="C225" s="4" t="s">
        <v>15</v>
      </c>
      <c r="D225" s="12">
        <v>450</v>
      </c>
      <c r="E225" s="44" t="s">
        <v>4</v>
      </c>
      <c r="F225" s="64" t="s">
        <v>4</v>
      </c>
      <c r="G225" s="23"/>
      <c r="H225" s="73">
        <v>46052</v>
      </c>
    </row>
    <row r="226" spans="1:8" ht="15" customHeight="1" x14ac:dyDescent="0.25">
      <c r="A226" s="5" t="s">
        <v>387</v>
      </c>
      <c r="B226" s="4" t="s">
        <v>15</v>
      </c>
      <c r="C226" s="4" t="s">
        <v>15</v>
      </c>
      <c r="D226" s="12">
        <v>600</v>
      </c>
      <c r="E226" s="44" t="s">
        <v>4</v>
      </c>
      <c r="F226" s="64" t="s">
        <v>4</v>
      </c>
      <c r="G226" s="23"/>
      <c r="H226" s="73">
        <v>46052</v>
      </c>
    </row>
    <row r="227" spans="1:8" ht="15" customHeight="1" x14ac:dyDescent="0.25">
      <c r="A227" s="5" t="s">
        <v>388</v>
      </c>
      <c r="B227" s="4" t="s">
        <v>15</v>
      </c>
      <c r="C227" s="4" t="s">
        <v>15</v>
      </c>
      <c r="D227" s="12">
        <v>500</v>
      </c>
      <c r="E227" s="44" t="s">
        <v>4</v>
      </c>
      <c r="F227" s="64" t="s">
        <v>4</v>
      </c>
      <c r="G227" s="23"/>
      <c r="H227" s="73">
        <v>46052</v>
      </c>
    </row>
    <row r="228" spans="1:8" ht="15" customHeight="1" x14ac:dyDescent="0.25">
      <c r="A228" s="5" t="s">
        <v>389</v>
      </c>
      <c r="B228" s="4" t="s">
        <v>15</v>
      </c>
      <c r="C228" s="4" t="s">
        <v>15</v>
      </c>
      <c r="D228" s="12">
        <v>150</v>
      </c>
      <c r="E228" s="44" t="s">
        <v>4</v>
      </c>
      <c r="F228" s="64" t="s">
        <v>4</v>
      </c>
      <c r="G228" s="23"/>
      <c r="H228" s="73">
        <v>46052</v>
      </c>
    </row>
    <row r="229" spans="1:8" ht="15" customHeight="1" x14ac:dyDescent="0.25">
      <c r="A229" s="5" t="s">
        <v>390</v>
      </c>
      <c r="B229" s="4" t="s">
        <v>15</v>
      </c>
      <c r="C229" s="4" t="s">
        <v>15</v>
      </c>
      <c r="D229" s="12">
        <v>600</v>
      </c>
      <c r="E229" s="44" t="s">
        <v>4</v>
      </c>
      <c r="F229" s="64" t="s">
        <v>4</v>
      </c>
      <c r="G229" s="23"/>
      <c r="H229" s="73">
        <v>46052</v>
      </c>
    </row>
    <row r="230" spans="1:8" ht="15" customHeight="1" x14ac:dyDescent="0.25">
      <c r="A230" s="5" t="s">
        <v>400</v>
      </c>
      <c r="B230" s="4" t="s">
        <v>15</v>
      </c>
      <c r="C230" s="4" t="s">
        <v>15</v>
      </c>
      <c r="D230" s="12">
        <v>150</v>
      </c>
      <c r="E230" s="44" t="s">
        <v>4</v>
      </c>
      <c r="F230" s="64" t="s">
        <v>4</v>
      </c>
      <c r="G230" s="23"/>
      <c r="H230" s="73">
        <v>46052</v>
      </c>
    </row>
    <row r="231" spans="1:8" ht="15" customHeight="1" x14ac:dyDescent="0.25">
      <c r="A231" s="5" t="s">
        <v>391</v>
      </c>
      <c r="B231" s="4" t="s">
        <v>15</v>
      </c>
      <c r="C231" s="4" t="s">
        <v>15</v>
      </c>
      <c r="D231" s="12">
        <v>100</v>
      </c>
      <c r="E231" s="44" t="s">
        <v>4</v>
      </c>
      <c r="F231" s="64" t="s">
        <v>4</v>
      </c>
      <c r="G231" s="23"/>
      <c r="H231" s="73">
        <v>46052</v>
      </c>
    </row>
    <row r="232" spans="1:8" ht="15" customHeight="1" x14ac:dyDescent="0.25">
      <c r="A232" s="5" t="s">
        <v>392</v>
      </c>
      <c r="B232" s="4" t="s">
        <v>15</v>
      </c>
      <c r="C232" s="4" t="s">
        <v>15</v>
      </c>
      <c r="D232" s="12">
        <v>150</v>
      </c>
      <c r="E232" s="44" t="s">
        <v>4</v>
      </c>
      <c r="F232" s="64" t="s">
        <v>4</v>
      </c>
      <c r="G232" s="23"/>
      <c r="H232" s="73">
        <v>46052</v>
      </c>
    </row>
    <row r="233" spans="1:8" ht="15.75" x14ac:dyDescent="0.25">
      <c r="A233" s="5" t="s">
        <v>393</v>
      </c>
      <c r="B233" s="4" t="s">
        <v>15</v>
      </c>
      <c r="C233" s="4" t="s">
        <v>15</v>
      </c>
      <c r="D233" s="12">
        <v>25</v>
      </c>
      <c r="E233" s="44" t="s">
        <v>4</v>
      </c>
      <c r="F233" s="64" t="s">
        <v>4</v>
      </c>
      <c r="G233" s="23"/>
      <c r="H233" s="73">
        <v>46052</v>
      </c>
    </row>
    <row r="234" spans="1:8" ht="15.75" x14ac:dyDescent="0.25">
      <c r="A234" s="5" t="s">
        <v>394</v>
      </c>
      <c r="B234" s="4" t="s">
        <v>15</v>
      </c>
      <c r="C234" s="4" t="s">
        <v>15</v>
      </c>
      <c r="D234" s="12">
        <v>25</v>
      </c>
      <c r="E234" s="44" t="s">
        <v>4</v>
      </c>
      <c r="F234" s="64" t="s">
        <v>4</v>
      </c>
      <c r="G234" s="23"/>
      <c r="H234" s="73">
        <v>46052</v>
      </c>
    </row>
    <row r="235" spans="1:8" ht="15.75" x14ac:dyDescent="0.25">
      <c r="A235" s="5" t="s">
        <v>396</v>
      </c>
      <c r="B235" s="4" t="s">
        <v>15</v>
      </c>
      <c r="C235" s="4" t="s">
        <v>15</v>
      </c>
      <c r="D235" s="12">
        <v>126.5</v>
      </c>
      <c r="E235" s="44" t="s">
        <v>4</v>
      </c>
      <c r="F235" s="64" t="s">
        <v>4</v>
      </c>
      <c r="G235" s="23"/>
      <c r="H235" s="73">
        <v>46052</v>
      </c>
    </row>
    <row r="236" spans="1:8" ht="15.75" x14ac:dyDescent="0.25">
      <c r="A236" s="5" t="s">
        <v>397</v>
      </c>
      <c r="B236" s="4" t="s">
        <v>15</v>
      </c>
      <c r="C236" s="4" t="s">
        <v>15</v>
      </c>
      <c r="D236" s="12">
        <v>126.5</v>
      </c>
      <c r="E236" s="44" t="s">
        <v>4</v>
      </c>
      <c r="F236" s="64" t="s">
        <v>4</v>
      </c>
      <c r="G236" s="23"/>
      <c r="H236" s="73">
        <v>46052</v>
      </c>
    </row>
    <row r="237" spans="1:8" ht="15.75" x14ac:dyDescent="0.25">
      <c r="A237" s="5" t="s">
        <v>395</v>
      </c>
      <c r="B237" s="4" t="s">
        <v>15</v>
      </c>
      <c r="C237" s="4" t="s">
        <v>15</v>
      </c>
      <c r="D237" s="12">
        <v>512</v>
      </c>
      <c r="E237" s="44" t="s">
        <v>4</v>
      </c>
      <c r="F237" s="64" t="s">
        <v>4</v>
      </c>
      <c r="G237" s="23"/>
      <c r="H237" s="73">
        <v>46052</v>
      </c>
    </row>
    <row r="238" spans="1:8" ht="15.75" x14ac:dyDescent="0.25">
      <c r="A238" s="5" t="s">
        <v>398</v>
      </c>
      <c r="B238" s="4" t="s">
        <v>15</v>
      </c>
      <c r="C238" s="4" t="s">
        <v>15</v>
      </c>
      <c r="D238" s="12">
        <v>190.67</v>
      </c>
      <c r="E238" s="44" t="s">
        <v>4</v>
      </c>
      <c r="F238" s="64" t="s">
        <v>4</v>
      </c>
      <c r="G238" s="23"/>
      <c r="H238" s="73">
        <v>46052</v>
      </c>
    </row>
    <row r="239" spans="1:8" ht="15.75" x14ac:dyDescent="0.25">
      <c r="A239" s="5" t="s">
        <v>399</v>
      </c>
      <c r="B239" s="4" t="s">
        <v>15</v>
      </c>
      <c r="C239" s="4" t="s">
        <v>15</v>
      </c>
      <c r="D239" s="12">
        <v>250</v>
      </c>
      <c r="E239" s="44" t="s">
        <v>4</v>
      </c>
      <c r="F239" s="64" t="s">
        <v>4</v>
      </c>
      <c r="G239" s="23"/>
      <c r="H239" s="73">
        <v>46052</v>
      </c>
    </row>
    <row r="240" spans="1:8" ht="15.75" x14ac:dyDescent="0.25">
      <c r="A240" s="5"/>
      <c r="B240" s="4"/>
      <c r="C240" s="4"/>
      <c r="D240" s="14">
        <v>3.22</v>
      </c>
      <c r="E240" s="44"/>
      <c r="F240" s="64" t="s">
        <v>115</v>
      </c>
      <c r="G240" s="23"/>
      <c r="H240" s="11"/>
    </row>
    <row r="241" spans="1:12" ht="15.75" x14ac:dyDescent="0.25">
      <c r="A241" s="69"/>
      <c r="B241" s="75"/>
      <c r="C241" s="75"/>
      <c r="D241" s="12"/>
      <c r="E241" s="75"/>
      <c r="F241" s="72"/>
      <c r="G241" s="68"/>
      <c r="H241" s="73"/>
    </row>
    <row r="242" spans="1:12" ht="15.75" x14ac:dyDescent="0.25">
      <c r="A242" s="69"/>
      <c r="B242" s="70"/>
      <c r="C242" s="70"/>
      <c r="D242" s="12"/>
      <c r="E242" s="70"/>
      <c r="F242" s="72"/>
      <c r="G242" s="68"/>
      <c r="H242" s="73"/>
    </row>
    <row r="243" spans="1:12" ht="15.75" x14ac:dyDescent="0.25">
      <c r="A243" s="69"/>
      <c r="B243" s="70"/>
      <c r="C243" s="70"/>
      <c r="D243" s="12"/>
      <c r="E243" s="70"/>
      <c r="F243" s="72"/>
      <c r="G243" s="68"/>
      <c r="H243" s="73"/>
    </row>
    <row r="244" spans="1:12" ht="15.75" x14ac:dyDescent="0.25">
      <c r="A244" s="5"/>
      <c r="B244" s="4"/>
      <c r="C244" s="4"/>
      <c r="D244" s="12"/>
      <c r="E244" s="4"/>
      <c r="F244" s="64"/>
      <c r="G244" s="23"/>
      <c r="H244" s="11"/>
    </row>
    <row r="245" spans="1:12" ht="15.75" x14ac:dyDescent="0.25">
      <c r="A245" s="5"/>
      <c r="B245" s="8"/>
      <c r="C245" s="8"/>
      <c r="D245" s="13"/>
      <c r="E245" s="8"/>
      <c r="F245" s="65"/>
      <c r="G245" s="24"/>
      <c r="H245" s="9"/>
    </row>
    <row r="246" spans="1:12" ht="15.75" x14ac:dyDescent="0.25">
      <c r="A246" s="5"/>
      <c r="B246" s="8"/>
      <c r="C246" s="8"/>
      <c r="D246" s="13"/>
      <c r="E246" s="8"/>
      <c r="F246" s="65"/>
      <c r="G246" s="24"/>
      <c r="H246" s="9"/>
    </row>
    <row r="247" spans="1:12" ht="15.75" x14ac:dyDescent="0.25">
      <c r="A247"/>
      <c r="D247" s="13"/>
      <c r="F247" s="64" t="s">
        <v>115</v>
      </c>
      <c r="G247"/>
    </row>
    <row r="248" spans="1:12" ht="15.75" x14ac:dyDescent="0.25">
      <c r="A248" s="6" t="s">
        <v>5</v>
      </c>
      <c r="B248" s="4"/>
      <c r="C248" s="4"/>
      <c r="D248" s="12">
        <f>SUBTOTAL(9,D1:D247)</f>
        <v>262729.49999999977</v>
      </c>
      <c r="E248" s="4"/>
      <c r="F248" s="64" t="s">
        <v>115</v>
      </c>
      <c r="G248" s="23"/>
      <c r="H248" s="3"/>
    </row>
    <row r="249" spans="1:12" ht="15.75" x14ac:dyDescent="0.25">
      <c r="A249" s="5" t="s">
        <v>40</v>
      </c>
      <c r="B249" s="6" t="s">
        <v>154</v>
      </c>
      <c r="C249" s="6"/>
      <c r="D249" s="16"/>
      <c r="E249" s="4"/>
      <c r="F249" s="64" t="s">
        <v>115</v>
      </c>
      <c r="G249" s="23"/>
      <c r="H249" s="3"/>
    </row>
    <row r="250" spans="1:12" x14ac:dyDescent="0.25">
      <c r="C250" s="16"/>
      <c r="L250" s="31"/>
    </row>
    <row r="251" spans="1:12" ht="21" x14ac:dyDescent="0.35">
      <c r="A251" s="127" t="s">
        <v>160</v>
      </c>
      <c r="B251" s="127"/>
      <c r="C251" s="127"/>
      <c r="D251" s="127"/>
      <c r="E251" s="127"/>
      <c r="F251" s="127"/>
      <c r="G251" s="127"/>
      <c r="H251" s="127"/>
      <c r="L251" s="32"/>
    </row>
    <row r="252" spans="1:12" ht="15.75" x14ac:dyDescent="0.25">
      <c r="A252" s="5" t="s">
        <v>78</v>
      </c>
      <c r="B252" s="4" t="s">
        <v>147</v>
      </c>
      <c r="C252" s="4" t="s">
        <v>121</v>
      </c>
      <c r="D252" s="17" t="s">
        <v>6</v>
      </c>
      <c r="E252" s="4" t="s">
        <v>3</v>
      </c>
      <c r="F252" s="4" t="s">
        <v>10</v>
      </c>
      <c r="G252" s="24" t="s">
        <v>13</v>
      </c>
      <c r="H252" s="9" t="s">
        <v>14</v>
      </c>
    </row>
    <row r="253" spans="1:12" ht="15.75" x14ac:dyDescent="0.25">
      <c r="A253" s="5" t="s">
        <v>12</v>
      </c>
      <c r="B253" s="4" t="s">
        <v>15</v>
      </c>
      <c r="C253" s="4" t="s">
        <v>15</v>
      </c>
      <c r="D253" s="12">
        <v>17525.88</v>
      </c>
      <c r="E253" s="4" t="s">
        <v>4</v>
      </c>
      <c r="F253" s="4" t="s">
        <v>4</v>
      </c>
      <c r="G253" s="53" t="s">
        <v>104</v>
      </c>
      <c r="H253" s="11">
        <v>46027</v>
      </c>
    </row>
    <row r="254" spans="1:12" ht="15.75" x14ac:dyDescent="0.25">
      <c r="A254" s="5" t="s">
        <v>112</v>
      </c>
      <c r="B254" s="4" t="s">
        <v>148</v>
      </c>
      <c r="C254" s="4" t="s">
        <v>38</v>
      </c>
      <c r="D254" s="13">
        <v>81.31</v>
      </c>
      <c r="E254" s="4" t="s">
        <v>4</v>
      </c>
      <c r="F254" s="4" t="s">
        <v>4</v>
      </c>
      <c r="G254" s="53" t="s">
        <v>92</v>
      </c>
      <c r="H254" s="9">
        <v>46041</v>
      </c>
    </row>
    <row r="255" spans="1:12" ht="15.75" x14ac:dyDescent="0.25">
      <c r="A255" s="5" t="s">
        <v>189</v>
      </c>
      <c r="B255" s="4" t="s">
        <v>148</v>
      </c>
      <c r="C255" s="4" t="s">
        <v>38</v>
      </c>
      <c r="D255" s="13">
        <v>817.8</v>
      </c>
      <c r="E255" s="4" t="s">
        <v>4</v>
      </c>
      <c r="F255" s="4" t="s">
        <v>4</v>
      </c>
      <c r="G255" s="53" t="s">
        <v>101</v>
      </c>
      <c r="H255" s="9">
        <v>46035</v>
      </c>
    </row>
    <row r="256" spans="1:12" ht="15.75" x14ac:dyDescent="0.25">
      <c r="A256" s="5" t="s">
        <v>230</v>
      </c>
      <c r="B256" s="4" t="s">
        <v>84</v>
      </c>
      <c r="C256" s="4" t="s">
        <v>84</v>
      </c>
      <c r="D256" s="12">
        <v>11684.23</v>
      </c>
      <c r="E256" s="4" t="s">
        <v>4</v>
      </c>
      <c r="F256" s="4" t="s">
        <v>4</v>
      </c>
      <c r="G256" s="53" t="s">
        <v>96</v>
      </c>
      <c r="H256" s="9">
        <v>46041</v>
      </c>
    </row>
    <row r="257" spans="1:11" ht="15.75" x14ac:dyDescent="0.25">
      <c r="A257" s="5" t="s">
        <v>317</v>
      </c>
      <c r="B257" s="4" t="s">
        <v>84</v>
      </c>
      <c r="C257" s="4" t="s">
        <v>84</v>
      </c>
      <c r="D257" s="71">
        <v>3735.98</v>
      </c>
      <c r="E257" s="4" t="s">
        <v>4</v>
      </c>
      <c r="F257" s="4" t="s">
        <v>4</v>
      </c>
      <c r="G257" s="53" t="s">
        <v>96</v>
      </c>
      <c r="H257" s="9">
        <v>46041</v>
      </c>
    </row>
    <row r="258" spans="1:11" ht="15.75" x14ac:dyDescent="0.25">
      <c r="A258" s="5" t="s">
        <v>229</v>
      </c>
      <c r="B258" s="4" t="s">
        <v>84</v>
      </c>
      <c r="C258" s="4" t="s">
        <v>84</v>
      </c>
      <c r="D258" s="38">
        <v>15133.87</v>
      </c>
      <c r="E258" s="4" t="s">
        <v>4</v>
      </c>
      <c r="F258" s="4" t="s">
        <v>4</v>
      </c>
      <c r="G258" s="53" t="s">
        <v>96</v>
      </c>
      <c r="H258" s="9">
        <v>46041</v>
      </c>
    </row>
    <row r="259" spans="1:11" ht="15.75" x14ac:dyDescent="0.25">
      <c r="A259" s="5" t="s">
        <v>81</v>
      </c>
      <c r="B259" s="4" t="s">
        <v>84</v>
      </c>
      <c r="C259" s="4" t="s">
        <v>84</v>
      </c>
      <c r="D259" s="56">
        <v>27552.09</v>
      </c>
      <c r="E259" s="4" t="s">
        <v>4</v>
      </c>
      <c r="F259" s="4" t="s">
        <v>4</v>
      </c>
      <c r="G259" s="53" t="s">
        <v>144</v>
      </c>
      <c r="H259" s="9">
        <v>46041</v>
      </c>
    </row>
    <row r="260" spans="1:11" ht="15.75" x14ac:dyDescent="0.25">
      <c r="A260" s="5" t="s">
        <v>27</v>
      </c>
      <c r="B260" s="4" t="s">
        <v>148</v>
      </c>
      <c r="C260" s="4" t="s">
        <v>38</v>
      </c>
      <c r="D260" s="12">
        <v>44.27</v>
      </c>
      <c r="E260" s="4" t="s">
        <v>4</v>
      </c>
      <c r="F260" s="4" t="s">
        <v>4</v>
      </c>
      <c r="G260" s="53" t="s">
        <v>98</v>
      </c>
      <c r="H260" s="9">
        <v>46048</v>
      </c>
    </row>
    <row r="261" spans="1:11" ht="15.75" x14ac:dyDescent="0.25">
      <c r="A261" s="5" t="s">
        <v>370</v>
      </c>
      <c r="B261" s="4" t="s">
        <v>141</v>
      </c>
      <c r="C261" s="4" t="s">
        <v>39</v>
      </c>
      <c r="D261" s="12">
        <v>1460</v>
      </c>
      <c r="E261" s="4" t="s">
        <v>4</v>
      </c>
      <c r="F261" s="4" t="s">
        <v>4</v>
      </c>
      <c r="G261" s="53" t="s">
        <v>119</v>
      </c>
      <c r="H261" s="9">
        <v>46048</v>
      </c>
    </row>
    <row r="262" spans="1:11" ht="15.75" x14ac:dyDescent="0.25">
      <c r="A262" s="51"/>
      <c r="B262" s="48"/>
      <c r="C262" s="4"/>
      <c r="D262" s="52"/>
      <c r="E262" s="48"/>
      <c r="F262" s="48"/>
      <c r="G262" s="49"/>
      <c r="H262" s="50"/>
    </row>
    <row r="263" spans="1:11" ht="15.75" x14ac:dyDescent="0.25">
      <c r="A263" s="51"/>
      <c r="B263" s="48"/>
      <c r="C263" s="4"/>
      <c r="D263" s="52"/>
      <c r="E263" s="48"/>
      <c r="F263" s="4" t="s">
        <v>115</v>
      </c>
      <c r="G263" s="49"/>
      <c r="H263" s="50"/>
    </row>
    <row r="264" spans="1:11" ht="15.75" x14ac:dyDescent="0.25">
      <c r="A264" s="4" t="s">
        <v>11</v>
      </c>
      <c r="B264" s="27"/>
      <c r="C264" s="4" t="s">
        <v>0</v>
      </c>
      <c r="D264" s="12">
        <f>SUBTOTAL(9,D252:D261)</f>
        <v>78035.430000000008</v>
      </c>
      <c r="E264" s="4"/>
      <c r="F264" s="4" t="s">
        <v>115</v>
      </c>
      <c r="G264" s="24"/>
      <c r="H264" s="11"/>
      <c r="K264" s="26"/>
    </row>
    <row r="265" spans="1:11" ht="15.75" x14ac:dyDescent="0.25">
      <c r="A265" s="5" t="s">
        <v>117</v>
      </c>
      <c r="B265" s="5"/>
      <c r="C265" s="5"/>
      <c r="D265" s="16"/>
      <c r="E265" s="4"/>
      <c r="F265" s="4" t="s">
        <v>115</v>
      </c>
      <c r="G265" s="24"/>
      <c r="H265" s="11"/>
    </row>
    <row r="266" spans="1:11" ht="15.75" x14ac:dyDescent="0.25">
      <c r="A266" s="5"/>
      <c r="B266" s="5"/>
      <c r="C266" s="5"/>
      <c r="D266" s="16"/>
      <c r="E266" s="4"/>
      <c r="F266" s="4"/>
      <c r="G266" s="24"/>
      <c r="H266" s="11"/>
    </row>
    <row r="267" spans="1:11" ht="21" x14ac:dyDescent="0.35">
      <c r="A267" s="127" t="s">
        <v>155</v>
      </c>
      <c r="B267" s="127"/>
      <c r="C267" s="127"/>
      <c r="D267" s="127"/>
      <c r="E267" s="127"/>
      <c r="F267" s="127"/>
      <c r="G267" s="128"/>
    </row>
    <row r="268" spans="1:11" ht="15.75" x14ac:dyDescent="0.25">
      <c r="A268" s="5" t="s">
        <v>7</v>
      </c>
      <c r="B268" s="4" t="s">
        <v>37</v>
      </c>
      <c r="C268" s="17" t="s">
        <v>6</v>
      </c>
      <c r="D268" s="4" t="s">
        <v>3</v>
      </c>
      <c r="E268" s="4" t="s">
        <v>9</v>
      </c>
      <c r="F268" s="24" t="s">
        <v>13</v>
      </c>
      <c r="G268" s="9" t="s">
        <v>14</v>
      </c>
    </row>
    <row r="269" spans="1:11" ht="15.75" x14ac:dyDescent="0.25">
      <c r="A269" s="5" t="s">
        <v>296</v>
      </c>
      <c r="B269" s="4" t="s">
        <v>120</v>
      </c>
      <c r="C269" s="12">
        <v>6400</v>
      </c>
      <c r="D269" s="4" t="s">
        <v>4</v>
      </c>
      <c r="E269" s="4" t="s">
        <v>4</v>
      </c>
      <c r="F269" s="23"/>
      <c r="G269" s="11"/>
    </row>
    <row r="270" spans="1:11" ht="15.75" x14ac:dyDescent="0.25">
      <c r="A270" s="5" t="s">
        <v>297</v>
      </c>
      <c r="B270" s="4" t="s">
        <v>188</v>
      </c>
      <c r="C270" s="12">
        <v>68.61</v>
      </c>
      <c r="D270" s="4" t="s">
        <v>4</v>
      </c>
      <c r="E270" s="4" t="s">
        <v>4</v>
      </c>
      <c r="F270" s="23"/>
      <c r="G270" s="11"/>
    </row>
    <row r="271" spans="1:11" ht="15.75" x14ac:dyDescent="0.25">
      <c r="A271" s="5" t="s">
        <v>328</v>
      </c>
      <c r="B271" s="4" t="s">
        <v>120</v>
      </c>
      <c r="C271" s="12">
        <v>25000</v>
      </c>
      <c r="D271" s="4" t="s">
        <v>4</v>
      </c>
      <c r="E271" s="4" t="s">
        <v>4</v>
      </c>
      <c r="F271" s="23"/>
      <c r="G271" s="11"/>
    </row>
    <row r="272" spans="1:11" ht="15.75" x14ac:dyDescent="0.25">
      <c r="A272" s="5" t="s">
        <v>329</v>
      </c>
      <c r="B272" s="4" t="s">
        <v>188</v>
      </c>
      <c r="C272" s="12">
        <v>94.47</v>
      </c>
      <c r="D272" s="4" t="s">
        <v>4</v>
      </c>
      <c r="E272" s="4" t="s">
        <v>4</v>
      </c>
      <c r="F272" s="23"/>
      <c r="G272" s="11"/>
    </row>
    <row r="273" spans="1:15" ht="15.75" x14ac:dyDescent="0.25">
      <c r="A273" s="5" t="s">
        <v>347</v>
      </c>
      <c r="B273" s="4" t="s">
        <v>120</v>
      </c>
      <c r="C273" s="12">
        <v>22000</v>
      </c>
      <c r="D273" s="4" t="s">
        <v>4</v>
      </c>
      <c r="E273" s="4" t="s">
        <v>4</v>
      </c>
      <c r="F273" s="23"/>
      <c r="G273" s="11"/>
    </row>
    <row r="274" spans="1:15" ht="15.75" x14ac:dyDescent="0.25">
      <c r="A274" s="5" t="s">
        <v>348</v>
      </c>
      <c r="B274" s="4" t="s">
        <v>188</v>
      </c>
      <c r="C274" s="12">
        <v>51.15</v>
      </c>
      <c r="D274" s="4" t="s">
        <v>4</v>
      </c>
      <c r="E274" s="4" t="s">
        <v>4</v>
      </c>
      <c r="F274" s="23"/>
      <c r="G274" s="11"/>
    </row>
    <row r="275" spans="1:15" ht="15.75" x14ac:dyDescent="0.25">
      <c r="A275" s="5" t="s">
        <v>356</v>
      </c>
      <c r="B275" s="4" t="s">
        <v>120</v>
      </c>
      <c r="C275" s="12">
        <v>9400</v>
      </c>
      <c r="D275" s="4" t="s">
        <v>4</v>
      </c>
      <c r="E275" s="4" t="s">
        <v>4</v>
      </c>
      <c r="F275" s="23"/>
      <c r="G275" s="11"/>
    </row>
    <row r="276" spans="1:15" ht="15.75" x14ac:dyDescent="0.25">
      <c r="A276" s="5" t="s">
        <v>357</v>
      </c>
      <c r="B276" s="4" t="s">
        <v>188</v>
      </c>
      <c r="C276" s="12">
        <v>68.2</v>
      </c>
      <c r="D276" s="4" t="s">
        <v>4</v>
      </c>
      <c r="E276" s="4" t="s">
        <v>4</v>
      </c>
      <c r="F276" s="23"/>
      <c r="G276" s="11"/>
    </row>
    <row r="277" spans="1:15" ht="15.75" x14ac:dyDescent="0.25">
      <c r="A277" s="5" t="s">
        <v>371</v>
      </c>
      <c r="B277" s="4" t="s">
        <v>120</v>
      </c>
      <c r="C277" s="12">
        <v>42000</v>
      </c>
      <c r="D277" s="4" t="s">
        <v>4</v>
      </c>
      <c r="E277" s="4" t="s">
        <v>4</v>
      </c>
      <c r="F277" s="23"/>
      <c r="G277" s="11"/>
    </row>
    <row r="278" spans="1:15" ht="15.75" x14ac:dyDescent="0.25">
      <c r="A278" s="5" t="s">
        <v>372</v>
      </c>
      <c r="B278" s="4" t="s">
        <v>188</v>
      </c>
      <c r="C278" s="12">
        <v>54</v>
      </c>
      <c r="D278" s="4" t="s">
        <v>4</v>
      </c>
      <c r="E278" s="4" t="s">
        <v>4</v>
      </c>
      <c r="F278" s="23"/>
      <c r="G278" s="11"/>
    </row>
    <row r="279" spans="1:15" ht="15.75" x14ac:dyDescent="0.25">
      <c r="A279" s="5" t="s">
        <v>376</v>
      </c>
      <c r="B279" s="4" t="s">
        <v>120</v>
      </c>
      <c r="C279" s="12">
        <v>12200</v>
      </c>
      <c r="D279" s="4" t="s">
        <v>4</v>
      </c>
      <c r="E279" s="4" t="s">
        <v>4</v>
      </c>
      <c r="F279" s="23"/>
      <c r="G279" s="11"/>
    </row>
    <row r="280" spans="1:15" ht="15.75" x14ac:dyDescent="0.25">
      <c r="A280" s="5" t="s">
        <v>377</v>
      </c>
      <c r="B280" s="4" t="s">
        <v>188</v>
      </c>
      <c r="C280" s="12">
        <v>68.61</v>
      </c>
      <c r="D280" s="4" t="s">
        <v>4</v>
      </c>
      <c r="E280" s="4" t="s">
        <v>4</v>
      </c>
      <c r="F280" s="23"/>
      <c r="G280" s="11"/>
    </row>
    <row r="281" spans="1:15" ht="15.75" x14ac:dyDescent="0.25">
      <c r="A281" s="5" t="s">
        <v>379</v>
      </c>
      <c r="B281" s="4" t="s">
        <v>120</v>
      </c>
      <c r="C281" s="12">
        <v>21000</v>
      </c>
      <c r="D281" s="4" t="s">
        <v>4</v>
      </c>
      <c r="E281" s="4" t="s">
        <v>4</v>
      </c>
      <c r="F281" s="23"/>
      <c r="G281" s="11"/>
    </row>
    <row r="282" spans="1:15" ht="15.75" x14ac:dyDescent="0.25">
      <c r="A282" s="5" t="s">
        <v>380</v>
      </c>
      <c r="B282" s="4" t="s">
        <v>188</v>
      </c>
      <c r="C282" s="12">
        <v>69.58</v>
      </c>
      <c r="D282" s="4" t="s">
        <v>4</v>
      </c>
      <c r="E282" s="4" t="s">
        <v>4</v>
      </c>
      <c r="F282" s="23"/>
      <c r="G282" s="11"/>
    </row>
    <row r="283" spans="1:15" ht="15.75" x14ac:dyDescent="0.25">
      <c r="A283" s="5" t="s">
        <v>381</v>
      </c>
      <c r="B283" s="4" t="s">
        <v>120</v>
      </c>
      <c r="C283" s="12">
        <v>19000</v>
      </c>
      <c r="D283" s="4" t="s">
        <v>4</v>
      </c>
      <c r="E283" s="4" t="s">
        <v>4</v>
      </c>
      <c r="F283" s="23"/>
      <c r="G283" s="11"/>
    </row>
    <row r="284" spans="1:15" ht="15.75" x14ac:dyDescent="0.25">
      <c r="A284" s="5" t="s">
        <v>382</v>
      </c>
      <c r="B284" s="4" t="s">
        <v>188</v>
      </c>
      <c r="C284" s="12">
        <v>91.48</v>
      </c>
      <c r="D284" s="4" t="s">
        <v>4</v>
      </c>
      <c r="E284" s="4" t="s">
        <v>4</v>
      </c>
      <c r="F284" s="23"/>
      <c r="G284" s="11"/>
    </row>
    <row r="285" spans="1:15" ht="15.75" x14ac:dyDescent="0.25">
      <c r="A285" s="5" t="s">
        <v>383</v>
      </c>
      <c r="B285" s="4"/>
      <c r="C285" s="14">
        <v>-80.91</v>
      </c>
      <c r="D285" s="4" t="s">
        <v>4</v>
      </c>
      <c r="E285" s="4" t="s">
        <v>4</v>
      </c>
      <c r="F285" s="23"/>
      <c r="G285" s="11"/>
    </row>
    <row r="286" spans="1:15" ht="15.75" x14ac:dyDescent="0.25">
      <c r="A286" s="5" t="s">
        <v>194</v>
      </c>
      <c r="B286" s="4" t="s">
        <v>120</v>
      </c>
      <c r="C286" s="12"/>
      <c r="D286" s="4"/>
      <c r="E286" s="4"/>
      <c r="F286" s="23"/>
      <c r="G286" s="11"/>
    </row>
    <row r="287" spans="1:15" ht="15.75" x14ac:dyDescent="0.25">
      <c r="A287" s="5" t="s">
        <v>195</v>
      </c>
      <c r="B287" s="4" t="s">
        <v>188</v>
      </c>
      <c r="C287" s="12"/>
      <c r="D287" s="4"/>
      <c r="E287" s="4"/>
      <c r="F287" s="23"/>
      <c r="G287" s="11"/>
      <c r="O287" s="31"/>
    </row>
    <row r="288" spans="1:15" ht="15.75" x14ac:dyDescent="0.25">
      <c r="A288" s="5" t="s">
        <v>194</v>
      </c>
      <c r="B288" s="4" t="s">
        <v>120</v>
      </c>
      <c r="C288" s="12"/>
      <c r="D288" s="4"/>
      <c r="E288" s="4"/>
      <c r="F288" s="23"/>
      <c r="G288" s="11"/>
    </row>
    <row r="289" spans="1:7" ht="15.75" x14ac:dyDescent="0.25">
      <c r="A289" s="5" t="s">
        <v>195</v>
      </c>
      <c r="B289" s="4" t="s">
        <v>188</v>
      </c>
      <c r="C289" s="12"/>
      <c r="D289" s="4"/>
      <c r="E289" s="4"/>
      <c r="F289" s="23"/>
      <c r="G289" s="11"/>
    </row>
    <row r="290" spans="1:7" ht="15.75" x14ac:dyDescent="0.25">
      <c r="A290" s="5" t="s">
        <v>194</v>
      </c>
      <c r="B290" s="4" t="s">
        <v>120</v>
      </c>
      <c r="C290" s="12"/>
      <c r="D290" s="4"/>
      <c r="E290" s="4"/>
      <c r="F290" s="23"/>
      <c r="G290" s="11"/>
    </row>
    <row r="291" spans="1:7" ht="15.75" x14ac:dyDescent="0.25">
      <c r="A291" s="5" t="s">
        <v>195</v>
      </c>
      <c r="B291" s="4" t="s">
        <v>188</v>
      </c>
      <c r="C291" s="60"/>
      <c r="D291" s="4"/>
      <c r="E291" s="4"/>
      <c r="F291" s="23"/>
      <c r="G291" s="11"/>
    </row>
    <row r="292" spans="1:7" ht="15.75" x14ac:dyDescent="0.25">
      <c r="A292" s="5" t="s">
        <v>194</v>
      </c>
      <c r="B292" s="4" t="s">
        <v>120</v>
      </c>
      <c r="C292" s="12"/>
      <c r="D292" s="4"/>
      <c r="E292" s="4"/>
      <c r="F292" s="23"/>
      <c r="G292" s="11"/>
    </row>
    <row r="293" spans="1:7" ht="15.75" x14ac:dyDescent="0.25">
      <c r="A293" s="5" t="s">
        <v>195</v>
      </c>
      <c r="B293" s="4" t="s">
        <v>188</v>
      </c>
      <c r="C293" s="12"/>
      <c r="D293" s="4"/>
      <c r="E293" s="4"/>
      <c r="F293" s="23"/>
      <c r="G293" s="11"/>
    </row>
    <row r="294" spans="1:7" ht="15.75" x14ac:dyDescent="0.25">
      <c r="A294" s="5" t="s">
        <v>194</v>
      </c>
      <c r="B294" s="4" t="s">
        <v>120</v>
      </c>
      <c r="C294" s="12"/>
      <c r="D294" s="4"/>
      <c r="E294" s="4"/>
      <c r="F294" s="23"/>
      <c r="G294" s="11"/>
    </row>
    <row r="295" spans="1:7" ht="15.75" x14ac:dyDescent="0.25">
      <c r="A295" s="5" t="s">
        <v>195</v>
      </c>
      <c r="B295" s="4" t="s">
        <v>188</v>
      </c>
      <c r="C295" s="12"/>
      <c r="D295" s="4"/>
      <c r="E295" s="4"/>
      <c r="F295" s="23"/>
      <c r="G295" s="11"/>
    </row>
    <row r="296" spans="1:7" ht="15.75" x14ac:dyDescent="0.25">
      <c r="A296" s="5" t="s">
        <v>194</v>
      </c>
      <c r="B296" s="4" t="s">
        <v>120</v>
      </c>
      <c r="C296" s="12"/>
      <c r="D296" s="4"/>
      <c r="E296" s="4"/>
      <c r="F296" s="23"/>
      <c r="G296" s="11"/>
    </row>
    <row r="297" spans="1:7" ht="15.75" x14ac:dyDescent="0.25">
      <c r="A297" s="5" t="s">
        <v>195</v>
      </c>
      <c r="B297" s="4" t="s">
        <v>188</v>
      </c>
      <c r="C297" s="12"/>
      <c r="D297" s="4"/>
      <c r="E297" s="4"/>
      <c r="F297" s="23"/>
      <c r="G297" s="11"/>
    </row>
    <row r="298" spans="1:7" ht="15.75" x14ac:dyDescent="0.25">
      <c r="A298" s="5" t="s">
        <v>194</v>
      </c>
      <c r="B298" s="4" t="s">
        <v>120</v>
      </c>
      <c r="C298" s="12"/>
      <c r="D298" s="4"/>
      <c r="E298" s="4"/>
      <c r="F298" s="23"/>
      <c r="G298" s="11"/>
    </row>
    <row r="299" spans="1:7" ht="15.75" x14ac:dyDescent="0.25">
      <c r="A299" s="5" t="s">
        <v>195</v>
      </c>
      <c r="B299" s="4" t="s">
        <v>188</v>
      </c>
      <c r="C299" s="12"/>
      <c r="D299" s="4"/>
      <c r="E299" s="4"/>
      <c r="F299" s="23"/>
      <c r="G299" s="11"/>
    </row>
    <row r="300" spans="1:7" ht="15.75" x14ac:dyDescent="0.25">
      <c r="A300" s="5" t="s">
        <v>194</v>
      </c>
      <c r="B300" s="4" t="s">
        <v>120</v>
      </c>
      <c r="C300" s="12"/>
      <c r="D300" s="4"/>
      <c r="E300" s="4"/>
      <c r="F300" s="23"/>
      <c r="G300" s="11"/>
    </row>
    <row r="301" spans="1:7" ht="15.75" x14ac:dyDescent="0.25">
      <c r="A301" s="5" t="s">
        <v>195</v>
      </c>
      <c r="B301" s="4" t="s">
        <v>188</v>
      </c>
      <c r="C301" s="12"/>
      <c r="D301" s="4"/>
      <c r="E301" s="4"/>
      <c r="F301" s="23"/>
      <c r="G301" s="11"/>
    </row>
    <row r="302" spans="1:7" ht="15.75" x14ac:dyDescent="0.25">
      <c r="A302" s="5" t="s">
        <v>194</v>
      </c>
      <c r="B302" s="4" t="s">
        <v>120</v>
      </c>
      <c r="C302" s="12"/>
      <c r="D302" s="4"/>
      <c r="E302" s="4"/>
      <c r="F302" s="23"/>
      <c r="G302" s="11"/>
    </row>
    <row r="303" spans="1:7" ht="15.75" x14ac:dyDescent="0.25">
      <c r="A303" s="5" t="s">
        <v>195</v>
      </c>
      <c r="B303" s="4" t="s">
        <v>188</v>
      </c>
      <c r="C303" s="12"/>
      <c r="D303" s="4"/>
      <c r="E303" s="4"/>
      <c r="F303" s="23"/>
      <c r="G303" s="11"/>
    </row>
    <row r="304" spans="1:7" ht="15.75" x14ac:dyDescent="0.25">
      <c r="A304" s="5"/>
      <c r="B304" s="4"/>
      <c r="C304" s="12"/>
      <c r="D304" s="4"/>
      <c r="E304" s="4"/>
      <c r="F304" s="29"/>
      <c r="G304" s="30"/>
    </row>
    <row r="305" spans="1:7" ht="15.75" x14ac:dyDescent="0.25">
      <c r="A305" s="6"/>
      <c r="B305" s="4"/>
      <c r="C305" s="12"/>
      <c r="D305" s="4"/>
      <c r="E305" s="4" t="s">
        <v>115</v>
      </c>
      <c r="F305" s="24"/>
      <c r="G305" s="9"/>
    </row>
    <row r="306" spans="1:7" ht="15.75" x14ac:dyDescent="0.25">
      <c r="A306" s="6" t="s">
        <v>206</v>
      </c>
      <c r="B306" s="4"/>
      <c r="C306" s="12">
        <f>SUBTOTAL(9,C269:C305)</f>
        <v>157485.18999999997</v>
      </c>
      <c r="D306" s="4"/>
      <c r="E306" s="4" t="s">
        <v>115</v>
      </c>
      <c r="F306" s="24"/>
      <c r="G306" s="9"/>
    </row>
    <row r="307" spans="1:7" ht="15.75" x14ac:dyDescent="0.25">
      <c r="A307" s="5" t="s">
        <v>40</v>
      </c>
      <c r="B307" s="6" t="s">
        <v>295</v>
      </c>
      <c r="C307" s="16"/>
      <c r="D307" s="4"/>
      <c r="E307" s="4" t="s">
        <v>115</v>
      </c>
      <c r="F307" s="24"/>
      <c r="G307" s="9"/>
    </row>
    <row r="309" spans="1:7" ht="21" x14ac:dyDescent="0.35">
      <c r="A309" s="127" t="s">
        <v>187</v>
      </c>
      <c r="B309" s="127"/>
      <c r="C309" s="127"/>
      <c r="D309" s="127"/>
      <c r="E309" s="127"/>
      <c r="F309" s="127"/>
      <c r="G309" s="128"/>
    </row>
    <row r="310" spans="1:7" ht="15.75" x14ac:dyDescent="0.25">
      <c r="A310" s="5" t="s">
        <v>7</v>
      </c>
      <c r="B310" s="4" t="s">
        <v>37</v>
      </c>
      <c r="C310" s="17" t="s">
        <v>6</v>
      </c>
      <c r="D310" s="4" t="s">
        <v>3</v>
      </c>
      <c r="E310" s="4" t="s">
        <v>9</v>
      </c>
      <c r="F310" s="24" t="s">
        <v>13</v>
      </c>
      <c r="G310" s="9" t="s">
        <v>14</v>
      </c>
    </row>
    <row r="311" spans="1:7" ht="15.75" x14ac:dyDescent="0.25">
      <c r="A311" s="5" t="s">
        <v>294</v>
      </c>
      <c r="B311" s="4" t="s">
        <v>85</v>
      </c>
      <c r="C311" s="13">
        <v>125000</v>
      </c>
      <c r="D311" s="4" t="s">
        <v>4</v>
      </c>
      <c r="E311" s="4" t="s">
        <v>4</v>
      </c>
      <c r="F311" s="24"/>
      <c r="G311" s="9"/>
    </row>
    <row r="312" spans="1:7" ht="15.75" x14ac:dyDescent="0.25">
      <c r="A312" s="5" t="s">
        <v>298</v>
      </c>
      <c r="B312" s="4" t="s">
        <v>8</v>
      </c>
      <c r="C312" s="13">
        <v>2100</v>
      </c>
      <c r="D312" s="4" t="s">
        <v>4</v>
      </c>
      <c r="E312" s="4" t="s">
        <v>4</v>
      </c>
      <c r="F312" s="24"/>
      <c r="G312" s="9"/>
    </row>
    <row r="313" spans="1:7" ht="15.75" x14ac:dyDescent="0.25">
      <c r="A313" s="5" t="s">
        <v>349</v>
      </c>
      <c r="B313" s="4" t="s">
        <v>85</v>
      </c>
      <c r="C313" s="13">
        <v>54000</v>
      </c>
      <c r="D313" s="4" t="s">
        <v>4</v>
      </c>
      <c r="E313" s="4" t="s">
        <v>4</v>
      </c>
      <c r="F313" s="24"/>
      <c r="G313" s="9"/>
    </row>
    <row r="314" spans="1:7" ht="15.75" x14ac:dyDescent="0.25">
      <c r="A314" s="5" t="s">
        <v>350</v>
      </c>
      <c r="B314" s="4" t="s">
        <v>8</v>
      </c>
      <c r="C314" s="13">
        <v>68.2</v>
      </c>
      <c r="D314" s="4" t="s">
        <v>4</v>
      </c>
      <c r="E314" s="4" t="s">
        <v>4</v>
      </c>
      <c r="F314" s="24"/>
      <c r="G314" s="9"/>
    </row>
    <row r="315" spans="1:7" ht="15.75" x14ac:dyDescent="0.25">
      <c r="A315" s="5" t="s">
        <v>198</v>
      </c>
      <c r="B315" s="4" t="s">
        <v>85</v>
      </c>
      <c r="C315" s="13"/>
      <c r="D315" s="4"/>
      <c r="E315" s="4"/>
      <c r="F315" s="24"/>
      <c r="G315" s="9"/>
    </row>
    <row r="316" spans="1:7" ht="15.75" x14ac:dyDescent="0.25">
      <c r="A316" s="5" t="s">
        <v>199</v>
      </c>
      <c r="B316" s="4" t="s">
        <v>8</v>
      </c>
      <c r="C316" s="13"/>
      <c r="D316" s="4"/>
      <c r="E316" s="4"/>
      <c r="F316" s="24"/>
      <c r="G316" s="9"/>
    </row>
    <row r="317" spans="1:7" ht="15.75" x14ac:dyDescent="0.25">
      <c r="A317" s="5" t="s">
        <v>198</v>
      </c>
      <c r="B317" s="4" t="s">
        <v>85</v>
      </c>
      <c r="C317" s="13"/>
      <c r="D317" s="8"/>
      <c r="E317" s="4"/>
      <c r="F317" s="24"/>
      <c r="G317" s="9"/>
    </row>
    <row r="318" spans="1:7" ht="15.75" x14ac:dyDescent="0.25">
      <c r="A318" s="5" t="s">
        <v>199</v>
      </c>
      <c r="B318" s="4" t="s">
        <v>8</v>
      </c>
      <c r="C318" s="13"/>
      <c r="D318" s="8"/>
      <c r="E318" s="4"/>
      <c r="F318" s="24"/>
      <c r="G318" s="9"/>
    </row>
    <row r="319" spans="1:7" ht="15.75" x14ac:dyDescent="0.25">
      <c r="A319" s="5" t="s">
        <v>198</v>
      </c>
      <c r="B319" s="4" t="s">
        <v>85</v>
      </c>
      <c r="C319" s="13"/>
      <c r="D319" s="8"/>
      <c r="E319" s="8"/>
      <c r="F319" s="24"/>
      <c r="G319" s="9"/>
    </row>
    <row r="320" spans="1:7" ht="15.75" x14ac:dyDescent="0.25">
      <c r="A320" s="5" t="s">
        <v>199</v>
      </c>
      <c r="B320" s="4" t="s">
        <v>8</v>
      </c>
      <c r="C320" s="13"/>
      <c r="D320" s="8"/>
      <c r="E320" s="8"/>
      <c r="F320" s="24"/>
      <c r="G320" s="9"/>
    </row>
    <row r="321" spans="1:7" ht="15.75" x14ac:dyDescent="0.25">
      <c r="A321" s="5"/>
      <c r="B321" s="4"/>
      <c r="C321" s="12"/>
      <c r="D321" s="4"/>
      <c r="E321" s="4"/>
      <c r="F321" s="24"/>
      <c r="G321" s="9"/>
    </row>
    <row r="322" spans="1:7" ht="15.75" x14ac:dyDescent="0.25">
      <c r="A322" s="5"/>
      <c r="B322" s="4"/>
      <c r="C322" s="12"/>
      <c r="D322" s="4"/>
      <c r="E322" s="4"/>
      <c r="F322" s="23"/>
      <c r="G322" s="11"/>
    </row>
    <row r="323" spans="1:7" ht="15.75" x14ac:dyDescent="0.25">
      <c r="A323" s="5"/>
      <c r="B323" s="4"/>
      <c r="C323" s="12"/>
      <c r="D323" s="4"/>
      <c r="E323" s="4"/>
      <c r="F323" s="24"/>
      <c r="G323" s="9"/>
    </row>
    <row r="324" spans="1:7" ht="15.75" x14ac:dyDescent="0.25">
      <c r="A324" s="10"/>
      <c r="B324" s="8"/>
      <c r="C324" s="13"/>
      <c r="D324" s="8"/>
      <c r="E324" s="8"/>
      <c r="F324" s="24"/>
      <c r="G324" s="9"/>
    </row>
    <row r="325" spans="1:7" ht="15.75" x14ac:dyDescent="0.25">
      <c r="A325" s="5"/>
      <c r="B325" s="8"/>
      <c r="C325" s="13"/>
      <c r="D325" s="8"/>
      <c r="E325" s="8"/>
      <c r="F325" s="24"/>
      <c r="G325" s="9"/>
    </row>
    <row r="326" spans="1:7" ht="15.75" x14ac:dyDescent="0.25">
      <c r="A326" s="10"/>
      <c r="B326" s="8"/>
      <c r="C326" s="13"/>
      <c r="D326" s="8"/>
      <c r="E326" s="8"/>
      <c r="F326" s="24"/>
      <c r="G326" s="9"/>
    </row>
    <row r="327" spans="1:7" ht="15.75" x14ac:dyDescent="0.25">
      <c r="A327" s="5"/>
      <c r="B327" s="4"/>
      <c r="C327" s="15"/>
      <c r="D327" s="4"/>
      <c r="E327" s="4" t="s">
        <v>115</v>
      </c>
      <c r="F327" s="24"/>
      <c r="G327" s="9"/>
    </row>
    <row r="328" spans="1:7" ht="15.75" x14ac:dyDescent="0.25">
      <c r="A328" s="6" t="s">
        <v>206</v>
      </c>
      <c r="B328" s="4"/>
      <c r="C328" s="12">
        <f>SUBTOTAL(9,C311:C327)</f>
        <v>181168.2</v>
      </c>
      <c r="D328" s="4"/>
      <c r="E328" s="4" t="s">
        <v>115</v>
      </c>
      <c r="F328" s="24"/>
      <c r="G328" s="9"/>
    </row>
    <row r="329" spans="1:7" ht="15.75" x14ac:dyDescent="0.25">
      <c r="A329" s="5" t="s">
        <v>40</v>
      </c>
      <c r="B329" s="6" t="s">
        <v>295</v>
      </c>
      <c r="C329" s="16"/>
      <c r="D329" s="4"/>
      <c r="E329" s="4" t="s">
        <v>115</v>
      </c>
      <c r="F329" s="24"/>
      <c r="G329" s="9"/>
    </row>
    <row r="396" spans="11:11" ht="15.75" x14ac:dyDescent="0.25">
      <c r="K396" s="59"/>
    </row>
    <row r="403" spans="11:12" x14ac:dyDescent="0.25">
      <c r="K403" s="26"/>
      <c r="L403" s="26"/>
    </row>
    <row r="404" spans="11:12" x14ac:dyDescent="0.25">
      <c r="K404" s="26"/>
    </row>
    <row r="405" spans="11:12" x14ac:dyDescent="0.25">
      <c r="K405" s="26"/>
    </row>
    <row r="453" spans="13:13" x14ac:dyDescent="0.25">
      <c r="M453" s="54"/>
    </row>
    <row r="485" spans="12:12" x14ac:dyDescent="0.25">
      <c r="L485" s="47" t="s">
        <v>1</v>
      </c>
    </row>
  </sheetData>
  <mergeCells count="7">
    <mergeCell ref="A309:G309"/>
    <mergeCell ref="A1:H1"/>
    <mergeCell ref="K1:AB1"/>
    <mergeCell ref="K21:R21"/>
    <mergeCell ref="K42:T42"/>
    <mergeCell ref="A251:H251"/>
    <mergeCell ref="A267:G267"/>
  </mergeCells>
  <pageMargins left="0.511811024" right="0.511811024" top="0.78740157499999996" bottom="0.78740157499999996" header="0.31496062000000002" footer="0.31496062000000002"/>
  <pageSetup paperSize="9" scale="23" fitToHeight="0" orientation="portrait" horizontalDpi="300" verticalDpi="3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490"/>
  <sheetViews>
    <sheetView topLeftCell="A264" zoomScaleNormal="100" workbookViewId="0">
      <selection activeCell="A274" sqref="A274"/>
    </sheetView>
  </sheetViews>
  <sheetFormatPr defaultRowHeight="15" x14ac:dyDescent="0.25"/>
  <cols>
    <col min="1" max="1" width="76" style="2" customWidth="1"/>
    <col min="2" max="2" width="15.7109375" customWidth="1"/>
    <col min="3" max="3" width="14.140625" customWidth="1"/>
    <col min="4" max="4" width="13.5703125" customWidth="1"/>
    <col min="5" max="5" width="10.7109375" customWidth="1"/>
    <col min="6" max="6" width="13.7109375" style="25" customWidth="1"/>
    <col min="7" max="7" width="12.5703125" style="3" customWidth="1"/>
    <col min="8" max="8" width="12.28515625" customWidth="1"/>
    <col min="9" max="9" width="4.140625" customWidth="1"/>
    <col min="10" max="10" width="7.7109375" customWidth="1"/>
    <col min="11" max="11" width="19.42578125" customWidth="1"/>
    <col min="12" max="12" width="13.85546875" customWidth="1"/>
    <col min="13" max="13" width="13.7109375" customWidth="1"/>
    <col min="14" max="17" width="12.7109375" customWidth="1"/>
    <col min="18" max="18" width="14.85546875" customWidth="1"/>
    <col min="19" max="19" width="14.7109375" customWidth="1"/>
    <col min="20" max="28" width="13.7109375" customWidth="1"/>
    <col min="29" max="29" width="13.42578125" customWidth="1"/>
  </cols>
  <sheetData>
    <row r="1" spans="1:28" ht="21" x14ac:dyDescent="0.35">
      <c r="A1" s="129" t="s">
        <v>159</v>
      </c>
      <c r="B1" s="130"/>
      <c r="C1" s="130"/>
      <c r="D1" s="130"/>
      <c r="E1" s="130"/>
      <c r="F1" s="130"/>
      <c r="G1" s="130"/>
      <c r="H1" s="131"/>
      <c r="K1" s="132" t="s">
        <v>44</v>
      </c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8" ht="15.75" x14ac:dyDescent="0.25">
      <c r="A2" s="5" t="s">
        <v>7</v>
      </c>
      <c r="B2" s="4" t="s">
        <v>147</v>
      </c>
      <c r="C2" s="4" t="s">
        <v>146</v>
      </c>
      <c r="D2" s="17" t="s">
        <v>6</v>
      </c>
      <c r="E2" s="4" t="s">
        <v>3</v>
      </c>
      <c r="F2" s="4" t="s">
        <v>9</v>
      </c>
      <c r="G2" s="37" t="s">
        <v>89</v>
      </c>
      <c r="H2" s="9" t="s">
        <v>14</v>
      </c>
      <c r="K2" t="s">
        <v>45</v>
      </c>
      <c r="L2" t="s">
        <v>49</v>
      </c>
      <c r="M2" t="s">
        <v>185</v>
      </c>
      <c r="N2" t="s">
        <v>219</v>
      </c>
      <c r="O2" t="s">
        <v>50</v>
      </c>
      <c r="P2" t="s">
        <v>53</v>
      </c>
      <c r="Q2" t="s">
        <v>55</v>
      </c>
      <c r="R2" t="s">
        <v>57</v>
      </c>
      <c r="S2" t="s">
        <v>58</v>
      </c>
      <c r="T2" t="s">
        <v>2</v>
      </c>
      <c r="U2" t="s">
        <v>61</v>
      </c>
      <c r="V2" t="s">
        <v>65</v>
      </c>
      <c r="W2" t="s">
        <v>116</v>
      </c>
      <c r="X2" t="s">
        <v>197</v>
      </c>
      <c r="Y2" t="s">
        <v>218</v>
      </c>
      <c r="Z2" t="s">
        <v>66</v>
      </c>
      <c r="AA2" t="s">
        <v>0</v>
      </c>
    </row>
    <row r="3" spans="1:28" ht="15.75" x14ac:dyDescent="0.25">
      <c r="A3" s="5" t="s">
        <v>401</v>
      </c>
      <c r="B3" s="4" t="s">
        <v>138</v>
      </c>
      <c r="C3" s="4" t="s">
        <v>39</v>
      </c>
      <c r="D3" s="33">
        <v>187.56</v>
      </c>
      <c r="E3" s="4" t="s">
        <v>4</v>
      </c>
      <c r="F3" s="64" t="s">
        <v>4</v>
      </c>
      <c r="G3" s="53" t="s">
        <v>105</v>
      </c>
      <c r="H3" s="11">
        <v>46055</v>
      </c>
      <c r="K3" t="s">
        <v>46</v>
      </c>
      <c r="Q3" s="1">
        <v>362.07</v>
      </c>
      <c r="X3" s="7"/>
      <c r="Y3" s="7">
        <v>492.73</v>
      </c>
      <c r="Z3" s="7"/>
      <c r="AA3" s="1">
        <f>SUM(Tabela404657769411213014816639101742[[#This Row],[LEANDRO TR]:[PAULO]])</f>
        <v>854.8</v>
      </c>
    </row>
    <row r="4" spans="1:28" ht="15.75" x14ac:dyDescent="0.25">
      <c r="A4" s="5" t="s">
        <v>233</v>
      </c>
      <c r="B4" s="4" t="s">
        <v>148</v>
      </c>
      <c r="C4" s="4" t="s">
        <v>38</v>
      </c>
      <c r="D4" s="12">
        <v>2470</v>
      </c>
      <c r="E4" s="4" t="s">
        <v>4</v>
      </c>
      <c r="F4" s="64" t="s">
        <v>4</v>
      </c>
      <c r="G4" s="53" t="s">
        <v>105</v>
      </c>
      <c r="H4" s="11">
        <v>46055</v>
      </c>
      <c r="K4" t="s">
        <v>47</v>
      </c>
      <c r="M4" s="1">
        <v>689.51</v>
      </c>
      <c r="X4" s="7"/>
      <c r="Y4" s="7"/>
      <c r="Z4" s="7"/>
      <c r="AA4" s="1">
        <f>SUM(Tabela404657769411213014816639101742[[#This Row],[LEANDRO TR]:[PAULO]])</f>
        <v>689.51</v>
      </c>
    </row>
    <row r="5" spans="1:28" ht="15.75" x14ac:dyDescent="0.25">
      <c r="A5" s="5" t="s">
        <v>16</v>
      </c>
      <c r="B5" s="4" t="s">
        <v>84</v>
      </c>
      <c r="C5" s="4" t="s">
        <v>84</v>
      </c>
      <c r="D5" s="12">
        <v>390</v>
      </c>
      <c r="E5" s="4" t="s">
        <v>4</v>
      </c>
      <c r="F5" s="64" t="s">
        <v>4</v>
      </c>
      <c r="G5" s="67" t="s">
        <v>99</v>
      </c>
      <c r="H5" s="11">
        <v>46055</v>
      </c>
      <c r="K5" t="s">
        <v>48</v>
      </c>
      <c r="M5" s="1"/>
      <c r="W5" s="1">
        <v>754.61</v>
      </c>
      <c r="X5" s="1"/>
      <c r="Y5" s="1"/>
      <c r="Z5" s="1"/>
      <c r="AA5" s="1">
        <f>SUM(Tabela404657769411213014816639101742[[#This Row],[LEANDRO TR]:[PAULO]])</f>
        <v>754.61</v>
      </c>
    </row>
    <row r="6" spans="1:28" ht="15.75" x14ac:dyDescent="0.25">
      <c r="A6" s="5" t="s">
        <v>17</v>
      </c>
      <c r="B6" s="4" t="s">
        <v>84</v>
      </c>
      <c r="C6" s="4" t="s">
        <v>84</v>
      </c>
      <c r="D6" s="12">
        <v>390</v>
      </c>
      <c r="E6" s="4" t="s">
        <v>4</v>
      </c>
      <c r="F6" s="64" t="s">
        <v>4</v>
      </c>
      <c r="G6" s="67" t="s">
        <v>99</v>
      </c>
      <c r="H6" s="11">
        <v>46055</v>
      </c>
      <c r="K6" t="s">
        <v>51</v>
      </c>
      <c r="N6" s="61">
        <f>654.47+149.08</f>
        <v>803.55000000000007</v>
      </c>
      <c r="X6" s="7"/>
      <c r="Y6" s="7"/>
      <c r="Z6" s="7"/>
      <c r="AA6" s="1">
        <f>SUM(Tabela404657769411213014816639101742[[#This Row],[LEANDRO TR]:[PAULO]])</f>
        <v>803.55000000000007</v>
      </c>
    </row>
    <row r="7" spans="1:28" ht="15.75" x14ac:dyDescent="0.25">
      <c r="A7" s="5" t="s">
        <v>30</v>
      </c>
      <c r="B7" s="4" t="s">
        <v>152</v>
      </c>
      <c r="C7" s="4" t="s">
        <v>38</v>
      </c>
      <c r="D7" s="12">
        <v>59.22</v>
      </c>
      <c r="E7" s="4" t="s">
        <v>4</v>
      </c>
      <c r="F7" s="64" t="s">
        <v>4</v>
      </c>
      <c r="G7" s="53" t="s">
        <v>91</v>
      </c>
      <c r="H7" s="11">
        <v>46055</v>
      </c>
      <c r="K7" t="s">
        <v>52</v>
      </c>
      <c r="P7" s="61">
        <v>761</v>
      </c>
      <c r="X7" s="7"/>
      <c r="Y7" s="7"/>
      <c r="Z7" s="7"/>
      <c r="AA7" s="1">
        <f>SUM(Tabela404657769411213014816639101742[[#This Row],[LEANDRO TR]:[PAULO]])</f>
        <v>761</v>
      </c>
      <c r="AB7" s="7"/>
    </row>
    <row r="8" spans="1:28" ht="15.75" x14ac:dyDescent="0.25">
      <c r="A8" s="5" t="s">
        <v>222</v>
      </c>
      <c r="B8" s="4" t="s">
        <v>133</v>
      </c>
      <c r="C8" s="4" t="s">
        <v>38</v>
      </c>
      <c r="D8" s="12">
        <v>67.069999999999993</v>
      </c>
      <c r="E8" s="4" t="s">
        <v>4</v>
      </c>
      <c r="F8" s="64" t="s">
        <v>4</v>
      </c>
      <c r="G8" s="53" t="s">
        <v>95</v>
      </c>
      <c r="H8" s="11">
        <v>46055</v>
      </c>
      <c r="K8" t="s">
        <v>54</v>
      </c>
      <c r="L8" s="61">
        <v>809.86</v>
      </c>
      <c r="X8" s="7"/>
      <c r="Y8" s="7"/>
      <c r="Z8" s="7"/>
      <c r="AA8" s="1">
        <f>SUM(Tabela404657769411213014816639101742[[#This Row],[LEANDRO TR]:[PAULO]])</f>
        <v>809.86</v>
      </c>
      <c r="AB8" s="7"/>
    </row>
    <row r="9" spans="1:28" ht="15.75" x14ac:dyDescent="0.25">
      <c r="A9" s="5" t="s">
        <v>15</v>
      </c>
      <c r="B9" s="4" t="s">
        <v>15</v>
      </c>
      <c r="C9" s="4" t="s">
        <v>15</v>
      </c>
      <c r="D9" s="12">
        <v>86685.04</v>
      </c>
      <c r="E9" s="4" t="s">
        <v>4</v>
      </c>
      <c r="F9" s="64" t="s">
        <v>4</v>
      </c>
      <c r="G9" s="23"/>
      <c r="H9" s="11">
        <v>46055</v>
      </c>
      <c r="K9" t="s">
        <v>56</v>
      </c>
      <c r="R9" s="1">
        <v>1193.17</v>
      </c>
      <c r="U9" s="1"/>
      <c r="X9" s="7"/>
      <c r="Y9" s="7"/>
      <c r="Z9" s="7"/>
      <c r="AA9" s="1">
        <f>SUM(Tabela404657769411213014816639101742[[#This Row],[LEANDRO TR]:[PAULO]])</f>
        <v>1193.17</v>
      </c>
      <c r="AB9" s="7"/>
    </row>
    <row r="10" spans="1:28" ht="15.75" x14ac:dyDescent="0.25">
      <c r="A10" s="5" t="s">
        <v>88</v>
      </c>
      <c r="B10" s="4" t="s">
        <v>136</v>
      </c>
      <c r="C10" s="4" t="s">
        <v>39</v>
      </c>
      <c r="D10" s="12">
        <v>334.25</v>
      </c>
      <c r="E10" s="4" t="s">
        <v>4</v>
      </c>
      <c r="F10" s="64" t="s">
        <v>4</v>
      </c>
      <c r="G10" s="67"/>
      <c r="H10" s="11">
        <v>46055</v>
      </c>
      <c r="K10" t="s">
        <v>59</v>
      </c>
      <c r="S10" s="1">
        <v>380.14</v>
      </c>
      <c r="X10" s="7"/>
      <c r="Y10" s="7"/>
      <c r="Z10" s="7"/>
      <c r="AA10" s="1">
        <f>SUM(Tabela404657769411213014816639101742[[#This Row],[LEANDRO TR]:[PAULO]])</f>
        <v>380.14</v>
      </c>
      <c r="AB10" s="7"/>
    </row>
    <row r="11" spans="1:28" ht="15.75" x14ac:dyDescent="0.25">
      <c r="A11" s="5" t="s">
        <v>402</v>
      </c>
      <c r="B11" s="4"/>
      <c r="C11" s="4"/>
      <c r="D11" s="14">
        <v>3.22</v>
      </c>
      <c r="E11" s="4" t="s">
        <v>4</v>
      </c>
      <c r="F11" s="64" t="s">
        <v>4</v>
      </c>
      <c r="G11" s="79"/>
      <c r="H11" s="11">
        <v>46055</v>
      </c>
      <c r="K11" t="s">
        <v>60</v>
      </c>
      <c r="T11" s="1">
        <f>339.42+169.15</f>
        <v>508.57000000000005</v>
      </c>
      <c r="X11" s="7"/>
      <c r="Y11" s="7"/>
      <c r="Z11" s="7"/>
      <c r="AA11" s="1">
        <f>SUM(Tabela404657769411213014816639101742[[#This Row],[LEANDRO TR]:[PAULO]])</f>
        <v>508.57000000000005</v>
      </c>
      <c r="AB11" s="7"/>
    </row>
    <row r="12" spans="1:28" ht="15.75" x14ac:dyDescent="0.25">
      <c r="A12" s="5" t="s">
        <v>403</v>
      </c>
      <c r="B12" s="4" t="s">
        <v>148</v>
      </c>
      <c r="C12" s="4" t="s">
        <v>38</v>
      </c>
      <c r="D12" s="12">
        <v>120</v>
      </c>
      <c r="E12" s="4" t="s">
        <v>4</v>
      </c>
      <c r="F12" s="64" t="s">
        <v>4</v>
      </c>
      <c r="G12" s="79"/>
      <c r="H12" s="11">
        <v>46055</v>
      </c>
      <c r="K12" t="s">
        <v>62</v>
      </c>
      <c r="X12" s="7"/>
      <c r="Y12" s="7"/>
      <c r="Z12" s="7">
        <v>396.69</v>
      </c>
      <c r="AA12" s="1">
        <f>SUM(Tabela404657769411213014816639101742[[#This Row],[LEANDRO TR]:[PAULO]])</f>
        <v>396.69</v>
      </c>
      <c r="AB12" s="7"/>
    </row>
    <row r="13" spans="1:28" ht="15.75" x14ac:dyDescent="0.25">
      <c r="A13" s="5" t="s">
        <v>404</v>
      </c>
      <c r="B13" s="4" t="s">
        <v>148</v>
      </c>
      <c r="C13" s="4" t="s">
        <v>38</v>
      </c>
      <c r="D13" s="12">
        <v>47.22</v>
      </c>
      <c r="E13" s="4" t="s">
        <v>4</v>
      </c>
      <c r="F13" s="64" t="s">
        <v>4</v>
      </c>
      <c r="G13" s="79"/>
      <c r="H13" s="11">
        <v>46055</v>
      </c>
      <c r="K13" t="s">
        <v>63</v>
      </c>
      <c r="M13" s="1"/>
      <c r="N13" s="1"/>
      <c r="O13" s="1"/>
      <c r="R13" s="1"/>
      <c r="X13" s="7"/>
      <c r="Y13" s="7">
        <v>260.95</v>
      </c>
      <c r="Z13" s="7"/>
      <c r="AA13" s="1">
        <f>SUM(Tabela404657769411213014816639101742[[#This Row],[LEANDRO TR]:[PAULO]])</f>
        <v>260.95</v>
      </c>
      <c r="AB13" s="7"/>
    </row>
    <row r="14" spans="1:28" ht="15.75" x14ac:dyDescent="0.25">
      <c r="A14" s="5" t="s">
        <v>405</v>
      </c>
      <c r="B14" s="4" t="s">
        <v>148</v>
      </c>
      <c r="C14" s="4" t="s">
        <v>39</v>
      </c>
      <c r="D14" s="12">
        <v>27.4</v>
      </c>
      <c r="E14" s="4" t="s">
        <v>4</v>
      </c>
      <c r="F14" s="64" t="s">
        <v>4</v>
      </c>
      <c r="G14" s="79"/>
      <c r="H14" s="11">
        <v>46055</v>
      </c>
      <c r="K14" t="s">
        <v>64</v>
      </c>
      <c r="V14" s="7">
        <v>316.81</v>
      </c>
      <c r="X14" s="7"/>
      <c r="Y14" s="7"/>
      <c r="Z14" s="7"/>
      <c r="AA14" s="1">
        <f>SUM(Tabela404657769411213014816639101742[[#This Row],[LEANDRO TR]:[PAULO]])</f>
        <v>316.81</v>
      </c>
      <c r="AB14" s="7"/>
    </row>
    <row r="15" spans="1:28" ht="15.75" x14ac:dyDescent="0.25">
      <c r="A15" s="5" t="s">
        <v>406</v>
      </c>
      <c r="B15" s="4" t="s">
        <v>15</v>
      </c>
      <c r="C15" s="4" t="s">
        <v>15</v>
      </c>
      <c r="D15" s="12">
        <v>2398.63</v>
      </c>
      <c r="E15" s="4" t="s">
        <v>4</v>
      </c>
      <c r="F15" s="64" t="s">
        <v>4</v>
      </c>
      <c r="G15" s="79"/>
      <c r="H15" s="80">
        <v>46055</v>
      </c>
      <c r="K15" t="s">
        <v>67</v>
      </c>
      <c r="U15" s="1">
        <v>651</v>
      </c>
      <c r="X15" s="7"/>
      <c r="Y15" s="7"/>
      <c r="Z15" s="7"/>
      <c r="AA15" s="1">
        <f>SUM(Tabela404657769411213014816639101742[[#This Row],[LEANDRO TR]:[PAULO]])</f>
        <v>651</v>
      </c>
    </row>
    <row r="16" spans="1:28" ht="15.75" x14ac:dyDescent="0.25">
      <c r="A16" s="5" t="s">
        <v>407</v>
      </c>
      <c r="B16" s="4" t="s">
        <v>148</v>
      </c>
      <c r="C16" s="4" t="s">
        <v>39</v>
      </c>
      <c r="D16" s="12">
        <v>175</v>
      </c>
      <c r="E16" s="4" t="s">
        <v>4</v>
      </c>
      <c r="F16" s="64" t="s">
        <v>4</v>
      </c>
      <c r="G16" s="79"/>
      <c r="H16" s="80">
        <v>46055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x14ac:dyDescent="0.25">
      <c r="A17" s="5" t="s">
        <v>408</v>
      </c>
      <c r="B17" s="4" t="s">
        <v>148</v>
      </c>
      <c r="C17" s="4" t="s">
        <v>38</v>
      </c>
      <c r="D17" s="12">
        <v>600</v>
      </c>
      <c r="E17" s="4" t="s">
        <v>4</v>
      </c>
      <c r="F17" s="64" t="s">
        <v>4</v>
      </c>
      <c r="G17" s="79"/>
      <c r="H17" s="80">
        <v>46055</v>
      </c>
      <c r="K17" s="18" t="s">
        <v>0</v>
      </c>
      <c r="L17" s="19">
        <f t="shared" ref="L17:AA17" si="0">SUM(L3:L16)</f>
        <v>809.86</v>
      </c>
      <c r="M17" s="19">
        <f t="shared" si="0"/>
        <v>689.51</v>
      </c>
      <c r="N17" s="19">
        <f t="shared" si="0"/>
        <v>803.55000000000007</v>
      </c>
      <c r="O17" s="19">
        <f t="shared" si="0"/>
        <v>0</v>
      </c>
      <c r="P17" s="19">
        <f t="shared" si="0"/>
        <v>761</v>
      </c>
      <c r="Q17" s="19">
        <f>SUM(Q3:Q16)</f>
        <v>362.07</v>
      </c>
      <c r="R17" s="19">
        <f t="shared" si="0"/>
        <v>1193.17</v>
      </c>
      <c r="S17" s="19">
        <f t="shared" si="0"/>
        <v>380.14</v>
      </c>
      <c r="T17" s="19">
        <f t="shared" si="0"/>
        <v>508.57000000000005</v>
      </c>
      <c r="U17" s="19">
        <f t="shared" si="0"/>
        <v>651</v>
      </c>
      <c r="V17" s="19">
        <f t="shared" si="0"/>
        <v>316.81</v>
      </c>
      <c r="W17" s="19">
        <f t="shared" si="0"/>
        <v>754.61</v>
      </c>
      <c r="X17" s="19">
        <f>SUM(X3:X16)</f>
        <v>0</v>
      </c>
      <c r="Y17" s="19">
        <f>SUM(Y3:Y16)</f>
        <v>753.68000000000006</v>
      </c>
      <c r="Z17" s="19">
        <f t="shared" si="0"/>
        <v>396.69</v>
      </c>
      <c r="AA17" s="19">
        <f t="shared" si="0"/>
        <v>8380.66</v>
      </c>
    </row>
    <row r="18" spans="1:27" ht="15.75" x14ac:dyDescent="0.25">
      <c r="A18" s="5" t="s">
        <v>409</v>
      </c>
      <c r="B18" s="78"/>
      <c r="C18" s="78"/>
      <c r="D18" s="14">
        <v>-345</v>
      </c>
      <c r="E18" s="4" t="s">
        <v>4</v>
      </c>
      <c r="F18" s="64" t="s">
        <v>4</v>
      </c>
      <c r="G18" s="79"/>
      <c r="H18" s="80">
        <v>46055</v>
      </c>
      <c r="K18" s="34" t="s">
        <v>131</v>
      </c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>
        <f>SUM(Tabela404657769411213014816639101742[[#This Row],[LEANDRO TR]:[PAULO]])</f>
        <v>0</v>
      </c>
    </row>
    <row r="19" spans="1:27" ht="15.75" x14ac:dyDescent="0.25">
      <c r="A19" s="5" t="s">
        <v>83</v>
      </c>
      <c r="B19" s="4" t="s">
        <v>150</v>
      </c>
      <c r="C19" s="4" t="s">
        <v>38</v>
      </c>
      <c r="D19" s="12">
        <v>100</v>
      </c>
      <c r="E19" s="4" t="s">
        <v>4</v>
      </c>
      <c r="F19" s="64" t="s">
        <v>4</v>
      </c>
      <c r="G19" s="23"/>
      <c r="H19" s="80">
        <v>46055</v>
      </c>
      <c r="K19" s="20" t="s">
        <v>68</v>
      </c>
      <c r="L19" s="21">
        <f>(900)-(L17-L18)</f>
        <v>90.139999999999986</v>
      </c>
      <c r="M19" s="21">
        <f t="shared" ref="M19:Z19" si="1">(900)-(M17-M18)</f>
        <v>210.49</v>
      </c>
      <c r="N19" s="21">
        <f t="shared" si="1"/>
        <v>96.449999999999932</v>
      </c>
      <c r="O19" s="21">
        <f t="shared" si="1"/>
        <v>900</v>
      </c>
      <c r="P19" s="21">
        <f t="shared" si="1"/>
        <v>139</v>
      </c>
      <c r="Q19" s="21">
        <f t="shared" si="1"/>
        <v>537.93000000000006</v>
      </c>
      <c r="R19" s="21">
        <f t="shared" si="1"/>
        <v>-293.17000000000007</v>
      </c>
      <c r="S19" s="21">
        <f t="shared" si="1"/>
        <v>519.86</v>
      </c>
      <c r="T19" s="21">
        <f t="shared" si="1"/>
        <v>391.42999999999995</v>
      </c>
      <c r="U19" s="21">
        <f t="shared" si="1"/>
        <v>249</v>
      </c>
      <c r="V19" s="21">
        <f t="shared" si="1"/>
        <v>583.19000000000005</v>
      </c>
      <c r="W19" s="21">
        <f t="shared" si="1"/>
        <v>145.38999999999999</v>
      </c>
      <c r="X19" s="21">
        <f t="shared" si="1"/>
        <v>900</v>
      </c>
      <c r="Y19" s="21">
        <f t="shared" si="1"/>
        <v>146.31999999999994</v>
      </c>
      <c r="Z19" s="21">
        <f t="shared" si="1"/>
        <v>503.31</v>
      </c>
      <c r="AA19" s="22">
        <f>SUM(Tabela404657769411213014816639101742[[#This Row],[LEANDRO TR]:[PAULO]])</f>
        <v>5119.3399999999992</v>
      </c>
    </row>
    <row r="20" spans="1:27" ht="15.75" x14ac:dyDescent="0.25">
      <c r="A20" s="5" t="s">
        <v>410</v>
      </c>
      <c r="B20" s="4" t="s">
        <v>148</v>
      </c>
      <c r="C20" s="4" t="s">
        <v>39</v>
      </c>
      <c r="D20" s="12">
        <v>75</v>
      </c>
      <c r="E20" s="4" t="s">
        <v>4</v>
      </c>
      <c r="F20" s="64" t="s">
        <v>4</v>
      </c>
      <c r="G20" s="79"/>
      <c r="H20" s="80">
        <v>46055</v>
      </c>
      <c r="O20" s="7"/>
    </row>
    <row r="21" spans="1:27" ht="16.5" customHeight="1" x14ac:dyDescent="0.3">
      <c r="A21" s="5" t="s">
        <v>411</v>
      </c>
      <c r="B21" s="4" t="s">
        <v>148</v>
      </c>
      <c r="C21" s="4" t="s">
        <v>38</v>
      </c>
      <c r="D21" s="12">
        <v>70</v>
      </c>
      <c r="E21" s="4" t="s">
        <v>4</v>
      </c>
      <c r="F21" s="64" t="s">
        <v>4</v>
      </c>
      <c r="G21" s="23"/>
      <c r="H21" s="11">
        <v>46055</v>
      </c>
      <c r="K21" s="134" t="s">
        <v>107</v>
      </c>
      <c r="L21" s="135"/>
      <c r="M21" s="135"/>
      <c r="N21" s="135"/>
      <c r="O21" s="135"/>
      <c r="P21" s="135"/>
      <c r="Q21" s="135"/>
      <c r="R21" s="135"/>
      <c r="S21" s="7"/>
    </row>
    <row r="22" spans="1:27" ht="15.75" x14ac:dyDescent="0.25">
      <c r="A22" s="5" t="s">
        <v>412</v>
      </c>
      <c r="B22" s="4" t="s">
        <v>152</v>
      </c>
      <c r="C22" s="4" t="s">
        <v>38</v>
      </c>
      <c r="D22" s="12">
        <v>42</v>
      </c>
      <c r="E22" s="4" t="s">
        <v>4</v>
      </c>
      <c r="F22" s="64" t="s">
        <v>4</v>
      </c>
      <c r="G22" s="23"/>
      <c r="H22" s="11">
        <v>46055</v>
      </c>
      <c r="K22" t="s">
        <v>45</v>
      </c>
      <c r="L22" t="s">
        <v>163</v>
      </c>
      <c r="M22" t="s">
        <v>6</v>
      </c>
      <c r="N22" t="s">
        <v>162</v>
      </c>
      <c r="O22" t="s">
        <v>108</v>
      </c>
      <c r="P22" t="s">
        <v>182</v>
      </c>
      <c r="Q22" t="s">
        <v>164</v>
      </c>
      <c r="R22" t="s">
        <v>168</v>
      </c>
      <c r="X22" s="7"/>
      <c r="Y22" s="7"/>
      <c r="Z22" s="7"/>
      <c r="AA22" s="7"/>
    </row>
    <row r="23" spans="1:27" ht="15.75" x14ac:dyDescent="0.25">
      <c r="A23" s="5" t="s">
        <v>106</v>
      </c>
      <c r="B23" s="4" t="s">
        <v>150</v>
      </c>
      <c r="C23" s="4" t="s">
        <v>38</v>
      </c>
      <c r="D23" s="12">
        <v>150</v>
      </c>
      <c r="E23" s="4" t="s">
        <v>4</v>
      </c>
      <c r="F23" s="64" t="s">
        <v>4</v>
      </c>
      <c r="G23" s="23"/>
      <c r="H23" s="11">
        <v>46055</v>
      </c>
      <c r="K23" t="s">
        <v>46</v>
      </c>
      <c r="L23" t="s">
        <v>165</v>
      </c>
      <c r="M23" s="1">
        <v>332.63</v>
      </c>
      <c r="N23" s="3">
        <v>46316</v>
      </c>
      <c r="O23" t="s">
        <v>177</v>
      </c>
      <c r="P23" t="s">
        <v>184</v>
      </c>
      <c r="Q23" t="s">
        <v>166</v>
      </c>
      <c r="R23" t="s">
        <v>169</v>
      </c>
    </row>
    <row r="24" spans="1:27" ht="15.75" x14ac:dyDescent="0.25">
      <c r="A24" s="5" t="s">
        <v>413</v>
      </c>
      <c r="B24" s="4" t="s">
        <v>148</v>
      </c>
      <c r="C24" s="4" t="s">
        <v>39</v>
      </c>
      <c r="D24" s="12">
        <v>200</v>
      </c>
      <c r="E24" s="4" t="s">
        <v>4</v>
      </c>
      <c r="F24" s="64" t="s">
        <v>4</v>
      </c>
      <c r="G24" s="23"/>
      <c r="H24" s="11">
        <v>46055</v>
      </c>
      <c r="K24" t="s">
        <v>47</v>
      </c>
      <c r="L24" t="s">
        <v>165</v>
      </c>
      <c r="M24" s="1">
        <v>245.75</v>
      </c>
      <c r="N24" s="3">
        <v>46284</v>
      </c>
      <c r="O24" t="s">
        <v>177</v>
      </c>
      <c r="P24" t="s">
        <v>184</v>
      </c>
      <c r="Q24" t="s">
        <v>166</v>
      </c>
      <c r="R24" t="s">
        <v>169</v>
      </c>
    </row>
    <row r="25" spans="1:27" ht="15.75" x14ac:dyDescent="0.25">
      <c r="A25" s="5" t="s">
        <v>87</v>
      </c>
      <c r="B25" s="4" t="s">
        <v>148</v>
      </c>
      <c r="C25" s="4" t="s">
        <v>38</v>
      </c>
      <c r="D25" s="12">
        <v>120</v>
      </c>
      <c r="E25" s="4" t="s">
        <v>4</v>
      </c>
      <c r="F25" s="64" t="s">
        <v>4</v>
      </c>
      <c r="G25" s="23"/>
      <c r="H25" s="11">
        <v>46056</v>
      </c>
      <c r="K25" t="s">
        <v>48</v>
      </c>
      <c r="L25" t="s">
        <v>167</v>
      </c>
      <c r="M25" s="1">
        <v>195.16</v>
      </c>
      <c r="N25" s="3">
        <v>46311</v>
      </c>
      <c r="O25" t="s">
        <v>177</v>
      </c>
      <c r="P25" t="s">
        <v>184</v>
      </c>
      <c r="Q25" t="s">
        <v>166</v>
      </c>
      <c r="R25" t="s">
        <v>169</v>
      </c>
      <c r="T25" s="7"/>
    </row>
    <row r="26" spans="1:27" ht="15.75" x14ac:dyDescent="0.25">
      <c r="A26" s="5" t="s">
        <v>570</v>
      </c>
      <c r="B26" s="4" t="s">
        <v>15</v>
      </c>
      <c r="C26" s="4" t="s">
        <v>15</v>
      </c>
      <c r="D26" s="12">
        <v>173.33</v>
      </c>
      <c r="E26" s="4" t="s">
        <v>4</v>
      </c>
      <c r="F26" s="64" t="s">
        <v>4</v>
      </c>
      <c r="G26" s="79"/>
      <c r="H26" s="11">
        <v>46056</v>
      </c>
      <c r="K26" t="s">
        <v>51</v>
      </c>
      <c r="L26" t="s">
        <v>170</v>
      </c>
      <c r="M26" s="1">
        <v>267.10000000000002</v>
      </c>
      <c r="N26" s="3">
        <v>46232</v>
      </c>
      <c r="O26" t="s">
        <v>177</v>
      </c>
      <c r="P26" t="s">
        <v>184</v>
      </c>
      <c r="Q26" t="s">
        <v>166</v>
      </c>
      <c r="R26" t="s">
        <v>169</v>
      </c>
    </row>
    <row r="27" spans="1:27" ht="15.75" x14ac:dyDescent="0.25">
      <c r="A27" s="5" t="s">
        <v>571</v>
      </c>
      <c r="B27" s="4" t="s">
        <v>15</v>
      </c>
      <c r="C27" s="4" t="s">
        <v>15</v>
      </c>
      <c r="D27" s="12">
        <v>850</v>
      </c>
      <c r="E27" s="4" t="s">
        <v>4</v>
      </c>
      <c r="F27" s="64" t="s">
        <v>4</v>
      </c>
      <c r="G27" s="79"/>
      <c r="H27" s="11">
        <v>46056</v>
      </c>
      <c r="K27" t="s">
        <v>52</v>
      </c>
      <c r="L27" t="s">
        <v>170</v>
      </c>
      <c r="M27" s="1">
        <v>210.78</v>
      </c>
      <c r="N27" s="3">
        <v>46196</v>
      </c>
      <c r="O27" t="s">
        <v>178</v>
      </c>
      <c r="P27" t="s">
        <v>183</v>
      </c>
      <c r="Q27" t="s">
        <v>172</v>
      </c>
      <c r="R27" t="s">
        <v>169</v>
      </c>
    </row>
    <row r="28" spans="1:27" ht="15.75" x14ac:dyDescent="0.25">
      <c r="A28" s="5" t="s">
        <v>414</v>
      </c>
      <c r="B28" s="4" t="s">
        <v>148</v>
      </c>
      <c r="C28" s="4" t="s">
        <v>38</v>
      </c>
      <c r="D28" s="12">
        <v>8</v>
      </c>
      <c r="E28" s="4" t="s">
        <v>4</v>
      </c>
      <c r="F28" s="64" t="s">
        <v>4</v>
      </c>
      <c r="G28" s="23"/>
      <c r="H28" s="11">
        <v>46056</v>
      </c>
      <c r="K28" t="s">
        <v>54</v>
      </c>
      <c r="L28" t="s">
        <v>170</v>
      </c>
      <c r="M28" s="1">
        <v>187.73</v>
      </c>
      <c r="N28" s="3">
        <v>46145</v>
      </c>
      <c r="O28" t="s">
        <v>176</v>
      </c>
      <c r="P28" t="s">
        <v>183</v>
      </c>
      <c r="R28" t="s">
        <v>169</v>
      </c>
    </row>
    <row r="29" spans="1:27" ht="15.75" x14ac:dyDescent="0.25">
      <c r="A29" s="5" t="s">
        <v>415</v>
      </c>
      <c r="B29" s="4" t="s">
        <v>148</v>
      </c>
      <c r="C29" s="4" t="s">
        <v>38</v>
      </c>
      <c r="D29" s="12">
        <v>8</v>
      </c>
      <c r="E29" s="4" t="s">
        <v>4</v>
      </c>
      <c r="F29" s="64" t="s">
        <v>4</v>
      </c>
      <c r="G29" s="23"/>
      <c r="H29" s="11">
        <v>46056</v>
      </c>
      <c r="K29" t="s">
        <v>56</v>
      </c>
      <c r="L29" t="s">
        <v>173</v>
      </c>
      <c r="M29" s="1">
        <v>273.82</v>
      </c>
      <c r="N29" s="3">
        <v>46226</v>
      </c>
      <c r="O29" t="s">
        <v>109</v>
      </c>
      <c r="P29" t="s">
        <v>183</v>
      </c>
      <c r="Q29" t="s">
        <v>174</v>
      </c>
      <c r="R29" t="s">
        <v>169</v>
      </c>
    </row>
    <row r="30" spans="1:27" ht="15.75" x14ac:dyDescent="0.25">
      <c r="A30" s="5" t="s">
        <v>416</v>
      </c>
      <c r="B30" s="4" t="s">
        <v>148</v>
      </c>
      <c r="C30" s="4" t="s">
        <v>38</v>
      </c>
      <c r="D30" s="71">
        <v>8</v>
      </c>
      <c r="E30" s="4" t="s">
        <v>4</v>
      </c>
      <c r="F30" s="64" t="s">
        <v>4</v>
      </c>
      <c r="G30" s="68"/>
      <c r="H30" s="11">
        <v>46056</v>
      </c>
      <c r="K30" t="s">
        <v>59</v>
      </c>
      <c r="L30" t="s">
        <v>167</v>
      </c>
      <c r="M30" s="1">
        <v>263.5</v>
      </c>
      <c r="N30" s="3">
        <v>46319</v>
      </c>
      <c r="O30" t="s">
        <v>177</v>
      </c>
      <c r="P30" t="s">
        <v>184</v>
      </c>
      <c r="Q30" t="s">
        <v>166</v>
      </c>
      <c r="R30" t="s">
        <v>169</v>
      </c>
    </row>
    <row r="31" spans="1:27" ht="15.75" x14ac:dyDescent="0.25">
      <c r="A31" s="5" t="s">
        <v>417</v>
      </c>
      <c r="B31" s="4" t="s">
        <v>148</v>
      </c>
      <c r="C31" s="4" t="s">
        <v>38</v>
      </c>
      <c r="D31" s="71">
        <v>8</v>
      </c>
      <c r="E31" s="4" t="s">
        <v>4</v>
      </c>
      <c r="F31" s="64" t="s">
        <v>4</v>
      </c>
      <c r="G31" s="79"/>
      <c r="H31" s="11">
        <v>46056</v>
      </c>
      <c r="K31" t="s">
        <v>60</v>
      </c>
      <c r="L31" t="s">
        <v>170</v>
      </c>
      <c r="M31" s="1">
        <v>282.75</v>
      </c>
      <c r="N31" s="3">
        <v>46263</v>
      </c>
      <c r="O31" t="s">
        <v>177</v>
      </c>
      <c r="P31" t="s">
        <v>184</v>
      </c>
      <c r="Q31" s="40" t="s">
        <v>166</v>
      </c>
      <c r="R31" t="s">
        <v>169</v>
      </c>
    </row>
    <row r="32" spans="1:27" ht="15.75" x14ac:dyDescent="0.25">
      <c r="A32" s="5" t="s">
        <v>418</v>
      </c>
      <c r="B32" s="4" t="s">
        <v>148</v>
      </c>
      <c r="C32" s="4" t="s">
        <v>38</v>
      </c>
      <c r="D32" s="71">
        <v>8</v>
      </c>
      <c r="E32" s="4" t="s">
        <v>4</v>
      </c>
      <c r="F32" s="64" t="s">
        <v>4</v>
      </c>
      <c r="G32" s="79"/>
      <c r="H32" s="11">
        <v>46056</v>
      </c>
      <c r="K32" t="s">
        <v>62</v>
      </c>
      <c r="L32" t="s">
        <v>179</v>
      </c>
      <c r="M32" s="1">
        <v>601.11</v>
      </c>
      <c r="N32" s="3">
        <v>46205</v>
      </c>
      <c r="O32" t="s">
        <v>180</v>
      </c>
      <c r="P32" t="s">
        <v>183</v>
      </c>
      <c r="Q32" t="s">
        <v>174</v>
      </c>
      <c r="R32" t="s">
        <v>171</v>
      </c>
    </row>
    <row r="33" spans="1:20" ht="15.75" x14ac:dyDescent="0.25">
      <c r="A33" s="5" t="s">
        <v>419</v>
      </c>
      <c r="B33" s="4" t="s">
        <v>84</v>
      </c>
      <c r="C33" s="4" t="s">
        <v>84</v>
      </c>
      <c r="D33" s="12">
        <v>14.95</v>
      </c>
      <c r="E33" s="4" t="s">
        <v>4</v>
      </c>
      <c r="F33" s="64" t="s">
        <v>4</v>
      </c>
      <c r="G33" s="79"/>
      <c r="H33" s="11">
        <v>46056</v>
      </c>
      <c r="K33" t="s">
        <v>63</v>
      </c>
      <c r="L33" t="s">
        <v>173</v>
      </c>
      <c r="M33" s="1">
        <v>252.04</v>
      </c>
      <c r="N33" s="3">
        <v>46394</v>
      </c>
      <c r="O33" t="s">
        <v>177</v>
      </c>
      <c r="P33" t="s">
        <v>183</v>
      </c>
      <c r="Q33" t="s">
        <v>166</v>
      </c>
      <c r="R33" t="s">
        <v>175</v>
      </c>
    </row>
    <row r="34" spans="1:20" ht="15.75" x14ac:dyDescent="0.25">
      <c r="A34" s="5" t="s">
        <v>217</v>
      </c>
      <c r="B34" s="4" t="s">
        <v>148</v>
      </c>
      <c r="C34" s="4" t="s">
        <v>38</v>
      </c>
      <c r="D34" s="12">
        <v>250</v>
      </c>
      <c r="E34" s="4" t="s">
        <v>4</v>
      </c>
      <c r="F34" s="64" t="s">
        <v>4</v>
      </c>
      <c r="G34" s="79"/>
      <c r="H34" s="11">
        <v>46056</v>
      </c>
      <c r="K34" t="s">
        <v>64</v>
      </c>
      <c r="L34" t="s">
        <v>170</v>
      </c>
      <c r="M34" s="1">
        <v>208.96</v>
      </c>
      <c r="N34" s="3">
        <v>46320</v>
      </c>
      <c r="O34" t="s">
        <v>177</v>
      </c>
      <c r="P34" t="s">
        <v>184</v>
      </c>
      <c r="Q34" t="s">
        <v>166</v>
      </c>
      <c r="R34" t="s">
        <v>171</v>
      </c>
    </row>
    <row r="35" spans="1:20" ht="15.75" x14ac:dyDescent="0.25">
      <c r="A35" s="5" t="s">
        <v>420</v>
      </c>
      <c r="B35" s="4" t="s">
        <v>148</v>
      </c>
      <c r="C35" s="4" t="s">
        <v>38</v>
      </c>
      <c r="D35" s="12">
        <v>70</v>
      </c>
      <c r="E35" s="4" t="s">
        <v>4</v>
      </c>
      <c r="F35" s="64" t="s">
        <v>4</v>
      </c>
      <c r="G35" s="79"/>
      <c r="H35" s="80">
        <v>46058</v>
      </c>
      <c r="K35" t="s">
        <v>67</v>
      </c>
      <c r="L35" t="s">
        <v>167</v>
      </c>
      <c r="M35" s="1">
        <v>351.26</v>
      </c>
      <c r="N35" s="3">
        <v>46186</v>
      </c>
      <c r="O35" t="s">
        <v>178</v>
      </c>
      <c r="P35" t="s">
        <v>183</v>
      </c>
      <c r="Q35" t="s">
        <v>172</v>
      </c>
      <c r="R35" t="s">
        <v>171</v>
      </c>
    </row>
    <row r="36" spans="1:20" ht="15.75" x14ac:dyDescent="0.25">
      <c r="A36" s="5" t="s">
        <v>421</v>
      </c>
      <c r="B36" s="4" t="s">
        <v>136</v>
      </c>
      <c r="C36" s="4" t="s">
        <v>38</v>
      </c>
      <c r="D36" s="12">
        <v>320.05</v>
      </c>
      <c r="E36" s="4" t="s">
        <v>4</v>
      </c>
      <c r="F36" s="64" t="s">
        <v>4</v>
      </c>
      <c r="G36" s="79"/>
      <c r="H36" s="80">
        <v>46058</v>
      </c>
      <c r="K36" t="s">
        <v>113</v>
      </c>
      <c r="M36" s="1">
        <v>262.69</v>
      </c>
      <c r="N36" s="3"/>
      <c r="O36" t="s">
        <v>109</v>
      </c>
    </row>
    <row r="37" spans="1:20" ht="15.75" x14ac:dyDescent="0.25">
      <c r="A37" s="5" t="s">
        <v>422</v>
      </c>
      <c r="B37" s="4" t="s">
        <v>148</v>
      </c>
      <c r="C37" s="4" t="s">
        <v>38</v>
      </c>
      <c r="D37" s="12">
        <v>250</v>
      </c>
      <c r="E37" s="4" t="s">
        <v>4</v>
      </c>
      <c r="F37" s="64" t="s">
        <v>4</v>
      </c>
      <c r="G37" s="79"/>
      <c r="H37" s="80">
        <v>46058</v>
      </c>
    </row>
    <row r="38" spans="1:20" ht="15.75" x14ac:dyDescent="0.25">
      <c r="A38" s="5" t="s">
        <v>110</v>
      </c>
      <c r="B38" s="4" t="s">
        <v>148</v>
      </c>
      <c r="C38" s="4" t="s">
        <v>38</v>
      </c>
      <c r="D38" s="12">
        <v>200</v>
      </c>
      <c r="E38" s="4" t="s">
        <v>4</v>
      </c>
      <c r="F38" s="64" t="s">
        <v>4</v>
      </c>
      <c r="G38" s="23"/>
      <c r="H38" s="80">
        <v>46058</v>
      </c>
    </row>
    <row r="39" spans="1:20" ht="15.75" x14ac:dyDescent="0.25">
      <c r="A39" s="5" t="s">
        <v>423</v>
      </c>
      <c r="B39" s="4" t="s">
        <v>148</v>
      </c>
      <c r="C39" s="4" t="s">
        <v>38</v>
      </c>
      <c r="D39" s="12">
        <v>583.54999999999995</v>
      </c>
      <c r="E39" s="4" t="s">
        <v>4</v>
      </c>
      <c r="F39" s="64" t="s">
        <v>4</v>
      </c>
      <c r="G39" s="79"/>
      <c r="H39" s="80">
        <v>46058</v>
      </c>
    </row>
    <row r="40" spans="1:20" ht="15.75" x14ac:dyDescent="0.25">
      <c r="A40" s="5" t="s">
        <v>424</v>
      </c>
      <c r="B40" s="4" t="s">
        <v>15</v>
      </c>
      <c r="C40" s="4" t="s">
        <v>15</v>
      </c>
      <c r="D40" s="12">
        <v>945.46</v>
      </c>
      <c r="E40" s="4" t="s">
        <v>4</v>
      </c>
      <c r="F40" s="64" t="s">
        <v>4</v>
      </c>
      <c r="G40" s="79"/>
      <c r="H40" s="80">
        <v>46058</v>
      </c>
    </row>
    <row r="41" spans="1:20" ht="15.75" x14ac:dyDescent="0.25">
      <c r="A41" s="5" t="s">
        <v>427</v>
      </c>
      <c r="B41" s="78"/>
      <c r="C41" s="78"/>
      <c r="D41" s="81">
        <v>-1</v>
      </c>
      <c r="E41" s="4" t="s">
        <v>4</v>
      </c>
      <c r="F41" s="64" t="s">
        <v>4</v>
      </c>
      <c r="G41" s="79"/>
      <c r="H41" s="80">
        <v>46058</v>
      </c>
    </row>
    <row r="42" spans="1:20" ht="16.5" customHeight="1" x14ac:dyDescent="0.3">
      <c r="A42" s="5" t="s">
        <v>428</v>
      </c>
      <c r="B42" s="4" t="s">
        <v>84</v>
      </c>
      <c r="C42" s="4" t="s">
        <v>84</v>
      </c>
      <c r="D42" s="12">
        <v>172.42</v>
      </c>
      <c r="E42" s="4" t="s">
        <v>4</v>
      </c>
      <c r="F42" s="64" t="s">
        <v>4</v>
      </c>
      <c r="G42" s="23"/>
      <c r="H42" s="80">
        <v>46058</v>
      </c>
      <c r="K42" s="136" t="s">
        <v>145</v>
      </c>
      <c r="L42" s="136"/>
      <c r="M42" s="136"/>
      <c r="N42" s="136"/>
      <c r="O42" s="136"/>
      <c r="P42" s="136"/>
      <c r="Q42" s="136"/>
      <c r="R42" s="136"/>
      <c r="S42" s="136"/>
      <c r="T42" s="136"/>
    </row>
    <row r="43" spans="1:20" ht="15.75" x14ac:dyDescent="0.25">
      <c r="A43" s="5" t="s">
        <v>429</v>
      </c>
      <c r="B43" s="4" t="s">
        <v>84</v>
      </c>
      <c r="C43" s="4" t="s">
        <v>84</v>
      </c>
      <c r="D43" s="12">
        <v>172.42</v>
      </c>
      <c r="E43" s="4" t="s">
        <v>4</v>
      </c>
      <c r="F43" s="64" t="s">
        <v>4</v>
      </c>
      <c r="G43" s="23"/>
      <c r="H43" s="80">
        <v>46058</v>
      </c>
      <c r="K43" t="s">
        <v>129</v>
      </c>
      <c r="L43" t="s">
        <v>126</v>
      </c>
      <c r="M43" t="s">
        <v>124</v>
      </c>
      <c r="N43" t="s">
        <v>127</v>
      </c>
      <c r="O43" t="s">
        <v>123</v>
      </c>
      <c r="P43" t="s">
        <v>122</v>
      </c>
      <c r="Q43" t="s">
        <v>153</v>
      </c>
      <c r="R43" t="s">
        <v>128</v>
      </c>
      <c r="S43" t="s">
        <v>39</v>
      </c>
      <c r="T43" t="s">
        <v>125</v>
      </c>
    </row>
    <row r="44" spans="1:20" ht="15.75" x14ac:dyDescent="0.25">
      <c r="A44" s="5" t="s">
        <v>430</v>
      </c>
      <c r="B44" s="4" t="s">
        <v>84</v>
      </c>
      <c r="C44" s="4" t="s">
        <v>84</v>
      </c>
      <c r="D44" s="12">
        <v>172.42</v>
      </c>
      <c r="E44" s="4" t="s">
        <v>4</v>
      </c>
      <c r="F44" s="64" t="s">
        <v>4</v>
      </c>
      <c r="G44" s="23"/>
      <c r="H44" s="80">
        <v>46058</v>
      </c>
      <c r="K44" t="s">
        <v>130</v>
      </c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5" t="s">
        <v>431</v>
      </c>
      <c r="B45" s="4" t="s">
        <v>84</v>
      </c>
      <c r="C45" s="4" t="s">
        <v>84</v>
      </c>
      <c r="D45" s="12">
        <v>172.41</v>
      </c>
      <c r="E45" s="4" t="s">
        <v>4</v>
      </c>
      <c r="F45" s="64" t="s">
        <v>4</v>
      </c>
      <c r="G45" s="23"/>
      <c r="H45" s="80">
        <v>46058</v>
      </c>
      <c r="K45" t="s">
        <v>133</v>
      </c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5" t="s">
        <v>432</v>
      </c>
      <c r="B46" s="4" t="s">
        <v>84</v>
      </c>
      <c r="C46" s="4" t="s">
        <v>84</v>
      </c>
      <c r="D46" s="71">
        <v>172.42</v>
      </c>
      <c r="E46" s="4" t="s">
        <v>4</v>
      </c>
      <c r="F46" s="64" t="s">
        <v>4</v>
      </c>
      <c r="G46" s="53"/>
      <c r="H46" s="80">
        <v>46058</v>
      </c>
      <c r="K46" t="s">
        <v>134</v>
      </c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5" t="s">
        <v>433</v>
      </c>
      <c r="B47" s="4" t="s">
        <v>84</v>
      </c>
      <c r="C47" s="4" t="s">
        <v>84</v>
      </c>
      <c r="D47" s="71">
        <v>172.42</v>
      </c>
      <c r="E47" s="4" t="s">
        <v>4</v>
      </c>
      <c r="F47" s="64" t="s">
        <v>4</v>
      </c>
      <c r="G47" s="23"/>
      <c r="H47" s="80">
        <v>46058</v>
      </c>
      <c r="K47" t="s">
        <v>137</v>
      </c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5" t="s">
        <v>434</v>
      </c>
      <c r="B48" s="4" t="s">
        <v>84</v>
      </c>
      <c r="C48" s="4" t="s">
        <v>84</v>
      </c>
      <c r="D48" s="71">
        <v>172.42</v>
      </c>
      <c r="E48" s="4" t="s">
        <v>4</v>
      </c>
      <c r="F48" s="64" t="s">
        <v>4</v>
      </c>
      <c r="G48" s="23"/>
      <c r="H48" s="80">
        <v>46058</v>
      </c>
      <c r="K48" t="s">
        <v>135</v>
      </c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5" t="s">
        <v>435</v>
      </c>
      <c r="B49" s="4" t="s">
        <v>84</v>
      </c>
      <c r="C49" s="4" t="s">
        <v>84</v>
      </c>
      <c r="D49" s="71">
        <v>172.41</v>
      </c>
      <c r="E49" s="4" t="s">
        <v>4</v>
      </c>
      <c r="F49" s="64" t="s">
        <v>4</v>
      </c>
      <c r="G49" s="23"/>
      <c r="H49" s="80">
        <v>46058</v>
      </c>
      <c r="K49" t="s">
        <v>136</v>
      </c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5" t="s">
        <v>436</v>
      </c>
      <c r="B50" s="4" t="s">
        <v>84</v>
      </c>
      <c r="C50" s="4" t="s">
        <v>84</v>
      </c>
      <c r="D50" s="12">
        <v>172.42</v>
      </c>
      <c r="E50" s="4" t="s">
        <v>4</v>
      </c>
      <c r="F50" s="64" t="s">
        <v>4</v>
      </c>
      <c r="G50" s="53"/>
      <c r="H50" s="80">
        <v>46058</v>
      </c>
      <c r="K50" t="s">
        <v>151</v>
      </c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5" t="s">
        <v>437</v>
      </c>
      <c r="B51" s="4" t="s">
        <v>84</v>
      </c>
      <c r="C51" s="4" t="s">
        <v>84</v>
      </c>
      <c r="D51" s="12">
        <v>172.42</v>
      </c>
      <c r="E51" s="4" t="s">
        <v>4</v>
      </c>
      <c r="F51" s="64" t="s">
        <v>4</v>
      </c>
      <c r="G51" s="23"/>
      <c r="H51" s="80">
        <v>46058</v>
      </c>
      <c r="K51" t="s">
        <v>138</v>
      </c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5" t="s">
        <v>438</v>
      </c>
      <c r="B52" s="4" t="s">
        <v>84</v>
      </c>
      <c r="C52" s="4" t="s">
        <v>84</v>
      </c>
      <c r="D52" s="12">
        <v>172.42</v>
      </c>
      <c r="E52" s="4" t="s">
        <v>4</v>
      </c>
      <c r="F52" s="64" t="s">
        <v>4</v>
      </c>
      <c r="G52" s="23"/>
      <c r="H52" s="80">
        <v>46058</v>
      </c>
      <c r="K52" t="s">
        <v>84</v>
      </c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5" t="s">
        <v>439</v>
      </c>
      <c r="B53" s="4" t="s">
        <v>84</v>
      </c>
      <c r="C53" s="4" t="s">
        <v>84</v>
      </c>
      <c r="D53" s="12">
        <v>172.41</v>
      </c>
      <c r="E53" s="4" t="s">
        <v>4</v>
      </c>
      <c r="F53" s="64" t="s">
        <v>4</v>
      </c>
      <c r="G53" s="23"/>
      <c r="H53" s="80">
        <v>46058</v>
      </c>
      <c r="K53" t="s">
        <v>139</v>
      </c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5" t="s">
        <v>440</v>
      </c>
      <c r="B54" s="4" t="s">
        <v>84</v>
      </c>
      <c r="C54" s="4" t="s">
        <v>84</v>
      </c>
      <c r="D54" s="12">
        <v>187.9</v>
      </c>
      <c r="E54" s="4" t="s">
        <v>4</v>
      </c>
      <c r="F54" s="64" t="s">
        <v>4</v>
      </c>
      <c r="G54" s="53"/>
      <c r="H54" s="80">
        <v>46058</v>
      </c>
      <c r="K54" t="s">
        <v>190</v>
      </c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5" t="s">
        <v>441</v>
      </c>
      <c r="B55" s="4" t="s">
        <v>84</v>
      </c>
      <c r="C55" s="4" t="s">
        <v>84</v>
      </c>
      <c r="D55" s="12">
        <v>187.9</v>
      </c>
      <c r="E55" s="4" t="s">
        <v>4</v>
      </c>
      <c r="F55" s="64" t="s">
        <v>4</v>
      </c>
      <c r="G55" s="23"/>
      <c r="H55" s="80">
        <v>46058</v>
      </c>
      <c r="K55" t="s">
        <v>140</v>
      </c>
      <c r="L55" s="1"/>
      <c r="M55" s="1"/>
      <c r="N55" s="1"/>
      <c r="O55" s="1"/>
      <c r="P55" s="1"/>
      <c r="Q55" s="1"/>
      <c r="R55" s="1"/>
      <c r="S55" s="1"/>
      <c r="T55" s="1"/>
    </row>
    <row r="56" spans="1:20" ht="15" customHeight="1" x14ac:dyDescent="0.25">
      <c r="A56" s="5" t="s">
        <v>442</v>
      </c>
      <c r="B56" s="4" t="s">
        <v>84</v>
      </c>
      <c r="C56" s="4" t="s">
        <v>84</v>
      </c>
      <c r="D56" s="12">
        <v>187.9</v>
      </c>
      <c r="E56" s="4" t="s">
        <v>4</v>
      </c>
      <c r="F56" s="64" t="s">
        <v>4</v>
      </c>
      <c r="G56" s="23"/>
      <c r="H56" s="80">
        <v>46058</v>
      </c>
      <c r="K56" t="s">
        <v>141</v>
      </c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5" t="s">
        <v>443</v>
      </c>
      <c r="B57" s="4" t="s">
        <v>84</v>
      </c>
      <c r="C57" s="4" t="s">
        <v>84</v>
      </c>
      <c r="D57" s="12">
        <v>187.91</v>
      </c>
      <c r="E57" s="4" t="s">
        <v>4</v>
      </c>
      <c r="F57" s="64" t="s">
        <v>4</v>
      </c>
      <c r="G57" s="23"/>
      <c r="H57" s="80">
        <v>46058</v>
      </c>
      <c r="K57" t="s">
        <v>142</v>
      </c>
      <c r="L57" s="1"/>
      <c r="M57" s="1"/>
      <c r="N57" s="1"/>
      <c r="O57" s="1"/>
      <c r="P57" s="1"/>
      <c r="Q57" s="1"/>
      <c r="R57" s="1"/>
      <c r="S57" s="1"/>
      <c r="T57" s="1"/>
    </row>
    <row r="58" spans="1:20" ht="15.75" customHeight="1" x14ac:dyDescent="0.25">
      <c r="A58" s="5" t="s">
        <v>444</v>
      </c>
      <c r="B58" s="4" t="s">
        <v>84</v>
      </c>
      <c r="C58" s="4" t="s">
        <v>84</v>
      </c>
      <c r="D58" s="71">
        <v>200.43</v>
      </c>
      <c r="E58" s="4" t="s">
        <v>4</v>
      </c>
      <c r="F58" s="64" t="s">
        <v>4</v>
      </c>
      <c r="G58" s="53"/>
      <c r="H58" s="80">
        <v>46058</v>
      </c>
      <c r="K58" t="s">
        <v>143</v>
      </c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5" t="s">
        <v>445</v>
      </c>
      <c r="B59" s="4" t="s">
        <v>84</v>
      </c>
      <c r="C59" s="4" t="s">
        <v>84</v>
      </c>
      <c r="D59" s="71">
        <v>200.43</v>
      </c>
      <c r="E59" s="4" t="s">
        <v>4</v>
      </c>
      <c r="F59" s="64" t="s">
        <v>4</v>
      </c>
      <c r="G59" s="23"/>
      <c r="H59" s="80">
        <v>46058</v>
      </c>
      <c r="K59" t="s">
        <v>201</v>
      </c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5" t="s">
        <v>446</v>
      </c>
      <c r="B60" s="4" t="s">
        <v>84</v>
      </c>
      <c r="C60" s="4" t="s">
        <v>84</v>
      </c>
      <c r="D60" s="71">
        <v>200.43</v>
      </c>
      <c r="E60" s="4" t="s">
        <v>4</v>
      </c>
      <c r="F60" s="64" t="s">
        <v>4</v>
      </c>
      <c r="G60" s="23"/>
      <c r="H60" s="80">
        <v>46058</v>
      </c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5" t="s">
        <v>447</v>
      </c>
      <c r="B61" s="4" t="s">
        <v>84</v>
      </c>
      <c r="C61" s="4" t="s">
        <v>84</v>
      </c>
      <c r="D61" s="71">
        <v>200.45</v>
      </c>
      <c r="E61" s="4" t="s">
        <v>4</v>
      </c>
      <c r="F61" s="64" t="s">
        <v>4</v>
      </c>
      <c r="G61" s="23"/>
      <c r="H61" s="80">
        <v>46058</v>
      </c>
      <c r="K61" t="s">
        <v>0</v>
      </c>
      <c r="L61" s="1">
        <f t="shared" ref="L61:T61" si="2">SUM(L44:L60)</f>
        <v>0</v>
      </c>
      <c r="M61" s="1">
        <f t="shared" si="2"/>
        <v>0</v>
      </c>
      <c r="N61" s="1">
        <f t="shared" si="2"/>
        <v>0</v>
      </c>
      <c r="O61" s="1">
        <f t="shared" si="2"/>
        <v>0</v>
      </c>
      <c r="P61" s="1">
        <f t="shared" si="2"/>
        <v>0</v>
      </c>
      <c r="Q61" s="1">
        <f t="shared" si="2"/>
        <v>0</v>
      </c>
      <c r="R61" s="1">
        <f t="shared" si="2"/>
        <v>0</v>
      </c>
      <c r="S61" s="1">
        <f t="shared" si="2"/>
        <v>0</v>
      </c>
      <c r="T61" s="1">
        <f t="shared" si="2"/>
        <v>0</v>
      </c>
    </row>
    <row r="62" spans="1:20" ht="15.75" x14ac:dyDescent="0.25">
      <c r="A62" s="5" t="s">
        <v>448</v>
      </c>
      <c r="B62" s="4" t="s">
        <v>84</v>
      </c>
      <c r="C62" s="4" t="s">
        <v>84</v>
      </c>
      <c r="D62" s="12">
        <v>94.61</v>
      </c>
      <c r="E62" s="4" t="s">
        <v>4</v>
      </c>
      <c r="F62" s="64" t="s">
        <v>4</v>
      </c>
      <c r="G62" s="23"/>
      <c r="H62" s="80">
        <v>46058</v>
      </c>
    </row>
    <row r="63" spans="1:20" ht="15.75" x14ac:dyDescent="0.25">
      <c r="A63" s="5" t="s">
        <v>449</v>
      </c>
      <c r="B63" s="4" t="s">
        <v>84</v>
      </c>
      <c r="C63" s="4" t="s">
        <v>84</v>
      </c>
      <c r="D63" s="12">
        <v>94.61</v>
      </c>
      <c r="E63" s="4" t="s">
        <v>4</v>
      </c>
      <c r="F63" s="64" t="s">
        <v>4</v>
      </c>
      <c r="G63" s="23"/>
      <c r="H63" s="80">
        <v>46058</v>
      </c>
    </row>
    <row r="64" spans="1:20" ht="15.75" x14ac:dyDescent="0.25">
      <c r="A64" s="5" t="s">
        <v>450</v>
      </c>
      <c r="B64" s="4" t="s">
        <v>84</v>
      </c>
      <c r="C64" s="4" t="s">
        <v>84</v>
      </c>
      <c r="D64" s="12">
        <v>94.61</v>
      </c>
      <c r="E64" s="4" t="s">
        <v>4</v>
      </c>
      <c r="F64" s="64" t="s">
        <v>4</v>
      </c>
      <c r="G64" s="23"/>
      <c r="H64" s="80">
        <v>46058</v>
      </c>
    </row>
    <row r="65" spans="1:8" ht="15.75" x14ac:dyDescent="0.25">
      <c r="A65" s="5" t="s">
        <v>451</v>
      </c>
      <c r="B65" s="4" t="s">
        <v>84</v>
      </c>
      <c r="C65" s="4" t="s">
        <v>84</v>
      </c>
      <c r="D65" s="12">
        <v>94.61</v>
      </c>
      <c r="E65" s="4" t="s">
        <v>4</v>
      </c>
      <c r="F65" s="64" t="s">
        <v>4</v>
      </c>
      <c r="G65" s="23"/>
      <c r="H65" s="80">
        <v>46058</v>
      </c>
    </row>
    <row r="66" spans="1:8" ht="15.75" x14ac:dyDescent="0.25">
      <c r="A66" s="5" t="s">
        <v>452</v>
      </c>
      <c r="B66" s="4" t="s">
        <v>84</v>
      </c>
      <c r="C66" s="4" t="s">
        <v>84</v>
      </c>
      <c r="D66" s="12">
        <v>94.61</v>
      </c>
      <c r="E66" s="4" t="s">
        <v>4</v>
      </c>
      <c r="F66" s="64" t="s">
        <v>4</v>
      </c>
      <c r="G66" s="23"/>
      <c r="H66" s="80">
        <v>46058</v>
      </c>
    </row>
    <row r="67" spans="1:8" ht="15.75" x14ac:dyDescent="0.25">
      <c r="A67" s="5" t="s">
        <v>453</v>
      </c>
      <c r="B67" s="4" t="s">
        <v>148</v>
      </c>
      <c r="C67" s="4" t="s">
        <v>38</v>
      </c>
      <c r="D67" s="12">
        <v>8</v>
      </c>
      <c r="E67" s="4" t="s">
        <v>4</v>
      </c>
      <c r="F67" s="64" t="s">
        <v>4</v>
      </c>
      <c r="G67" s="23"/>
      <c r="H67" s="80">
        <v>46058</v>
      </c>
    </row>
    <row r="68" spans="1:8" ht="15.75" x14ac:dyDescent="0.25">
      <c r="A68" s="5" t="s">
        <v>454</v>
      </c>
      <c r="B68" s="4" t="s">
        <v>148</v>
      </c>
      <c r="C68" s="4" t="s">
        <v>38</v>
      </c>
      <c r="D68" s="12">
        <v>8</v>
      </c>
      <c r="E68" s="4" t="s">
        <v>4</v>
      </c>
      <c r="F68" s="64" t="s">
        <v>4</v>
      </c>
      <c r="G68" s="23"/>
      <c r="H68" s="80">
        <v>46058</v>
      </c>
    </row>
    <row r="69" spans="1:8" ht="15.75" x14ac:dyDescent="0.25">
      <c r="A69" s="5" t="s">
        <v>455</v>
      </c>
      <c r="B69" s="4" t="s">
        <v>148</v>
      </c>
      <c r="C69" s="4" t="s">
        <v>38</v>
      </c>
      <c r="D69" s="12">
        <v>8</v>
      </c>
      <c r="E69" s="4" t="s">
        <v>4</v>
      </c>
      <c r="F69" s="64" t="s">
        <v>4</v>
      </c>
      <c r="G69" s="23"/>
      <c r="H69" s="80">
        <v>46058</v>
      </c>
    </row>
    <row r="70" spans="1:8" ht="15.75" x14ac:dyDescent="0.25">
      <c r="A70" s="5" t="s">
        <v>456</v>
      </c>
      <c r="B70" s="4" t="s">
        <v>148</v>
      </c>
      <c r="C70" s="4" t="s">
        <v>38</v>
      </c>
      <c r="D70" s="12">
        <v>8</v>
      </c>
      <c r="E70" s="4" t="s">
        <v>4</v>
      </c>
      <c r="F70" s="64" t="s">
        <v>4</v>
      </c>
      <c r="G70" s="79"/>
      <c r="H70" s="80">
        <v>46058</v>
      </c>
    </row>
    <row r="71" spans="1:8" ht="15.75" x14ac:dyDescent="0.25">
      <c r="A71" s="5" t="s">
        <v>385</v>
      </c>
      <c r="B71" s="4" t="s">
        <v>148</v>
      </c>
      <c r="C71" s="4" t="s">
        <v>38</v>
      </c>
      <c r="D71" s="12">
        <v>40</v>
      </c>
      <c r="E71" s="4" t="s">
        <v>4</v>
      </c>
      <c r="F71" s="64" t="s">
        <v>4</v>
      </c>
      <c r="G71" s="79"/>
      <c r="H71" s="80">
        <v>46059</v>
      </c>
    </row>
    <row r="72" spans="1:8" ht="15.75" x14ac:dyDescent="0.25">
      <c r="A72" s="5" t="s">
        <v>457</v>
      </c>
      <c r="B72" s="4" t="s">
        <v>15</v>
      </c>
      <c r="C72" s="4" t="s">
        <v>15</v>
      </c>
      <c r="D72" s="12">
        <v>300</v>
      </c>
      <c r="E72" s="4" t="s">
        <v>4</v>
      </c>
      <c r="F72" s="64" t="s">
        <v>4</v>
      </c>
      <c r="G72" s="79"/>
      <c r="H72" s="80">
        <v>46059</v>
      </c>
    </row>
    <row r="73" spans="1:8" ht="15.75" x14ac:dyDescent="0.25">
      <c r="A73" s="5" t="s">
        <v>458</v>
      </c>
      <c r="B73" s="4" t="s">
        <v>15</v>
      </c>
      <c r="C73" s="4" t="s">
        <v>15</v>
      </c>
      <c r="D73" s="12">
        <v>200</v>
      </c>
      <c r="E73" s="4" t="s">
        <v>4</v>
      </c>
      <c r="F73" s="64" t="s">
        <v>4</v>
      </c>
      <c r="G73" s="79"/>
      <c r="H73" s="80">
        <v>46059</v>
      </c>
    </row>
    <row r="74" spans="1:8" ht="15.75" x14ac:dyDescent="0.25">
      <c r="A74" s="5" t="s">
        <v>459</v>
      </c>
      <c r="B74" s="4" t="s">
        <v>15</v>
      </c>
      <c r="C74" s="4" t="s">
        <v>15</v>
      </c>
      <c r="D74" s="12">
        <v>550</v>
      </c>
      <c r="E74" s="4" t="s">
        <v>4</v>
      </c>
      <c r="F74" s="64" t="s">
        <v>4</v>
      </c>
      <c r="G74" s="79"/>
      <c r="H74" s="80">
        <v>46059</v>
      </c>
    </row>
    <row r="75" spans="1:8" ht="15.75" x14ac:dyDescent="0.25">
      <c r="A75" s="5" t="s">
        <v>468</v>
      </c>
      <c r="B75" s="4" t="s">
        <v>15</v>
      </c>
      <c r="C75" s="4" t="s">
        <v>15</v>
      </c>
      <c r="D75" s="12">
        <v>600</v>
      </c>
      <c r="E75" s="4" t="s">
        <v>4</v>
      </c>
      <c r="F75" s="64" t="s">
        <v>4</v>
      </c>
      <c r="G75" s="79"/>
      <c r="H75" s="80">
        <v>46059</v>
      </c>
    </row>
    <row r="76" spans="1:8" ht="15.75" x14ac:dyDescent="0.25">
      <c r="A76" s="5" t="s">
        <v>460</v>
      </c>
      <c r="B76" s="4" t="s">
        <v>15</v>
      </c>
      <c r="C76" s="4" t="s">
        <v>15</v>
      </c>
      <c r="D76" s="12">
        <v>150</v>
      </c>
      <c r="E76" s="4" t="s">
        <v>4</v>
      </c>
      <c r="F76" s="64" t="s">
        <v>4</v>
      </c>
      <c r="G76" s="84"/>
      <c r="H76" s="80">
        <v>46059</v>
      </c>
    </row>
    <row r="77" spans="1:8" ht="15.75" x14ac:dyDescent="0.25">
      <c r="A77" s="5" t="s">
        <v>461</v>
      </c>
      <c r="B77" s="4" t="s">
        <v>15</v>
      </c>
      <c r="C77" s="4" t="s">
        <v>15</v>
      </c>
      <c r="D77" s="12">
        <v>50</v>
      </c>
      <c r="E77" s="4" t="s">
        <v>4</v>
      </c>
      <c r="F77" s="64" t="s">
        <v>4</v>
      </c>
      <c r="G77" s="84"/>
      <c r="H77" s="80">
        <v>46059</v>
      </c>
    </row>
    <row r="78" spans="1:8" ht="15.75" x14ac:dyDescent="0.25">
      <c r="A78" s="5" t="s">
        <v>462</v>
      </c>
      <c r="B78" s="4" t="s">
        <v>15</v>
      </c>
      <c r="C78" s="4" t="s">
        <v>15</v>
      </c>
      <c r="D78" s="12">
        <v>1350</v>
      </c>
      <c r="E78" s="4" t="s">
        <v>4</v>
      </c>
      <c r="F78" s="64" t="s">
        <v>4</v>
      </c>
      <c r="G78" s="84"/>
      <c r="H78" s="80">
        <v>46059</v>
      </c>
    </row>
    <row r="79" spans="1:8" ht="15.75" x14ac:dyDescent="0.25">
      <c r="A79" s="5" t="s">
        <v>463</v>
      </c>
      <c r="B79" s="4" t="s">
        <v>15</v>
      </c>
      <c r="C79" s="4" t="s">
        <v>15</v>
      </c>
      <c r="D79" s="12">
        <v>500</v>
      </c>
      <c r="E79" s="4" t="s">
        <v>4</v>
      </c>
      <c r="F79" s="64" t="s">
        <v>4</v>
      </c>
      <c r="G79" s="84"/>
      <c r="H79" s="80">
        <v>46059</v>
      </c>
    </row>
    <row r="80" spans="1:8" ht="15.75" x14ac:dyDescent="0.25">
      <c r="A80" s="5" t="s">
        <v>464</v>
      </c>
      <c r="B80" s="4" t="s">
        <v>15</v>
      </c>
      <c r="C80" s="4" t="s">
        <v>15</v>
      </c>
      <c r="D80" s="12">
        <v>550</v>
      </c>
      <c r="E80" s="4" t="s">
        <v>4</v>
      </c>
      <c r="F80" s="64" t="s">
        <v>4</v>
      </c>
      <c r="G80" s="84"/>
      <c r="H80" s="80">
        <v>46059</v>
      </c>
    </row>
    <row r="81" spans="1:11" ht="15.75" x14ac:dyDescent="0.25">
      <c r="A81" s="5" t="s">
        <v>465</v>
      </c>
      <c r="B81" s="4" t="s">
        <v>15</v>
      </c>
      <c r="C81" s="4" t="s">
        <v>15</v>
      </c>
      <c r="D81" s="12">
        <v>150</v>
      </c>
      <c r="E81" s="4" t="s">
        <v>4</v>
      </c>
      <c r="F81" s="64" t="s">
        <v>4</v>
      </c>
      <c r="G81" s="79"/>
      <c r="H81" s="80">
        <v>46059</v>
      </c>
    </row>
    <row r="82" spans="1:11" ht="15.75" x14ac:dyDescent="0.25">
      <c r="A82" s="5" t="s">
        <v>193</v>
      </c>
      <c r="B82" s="4" t="s">
        <v>148</v>
      </c>
      <c r="C82" s="4" t="s">
        <v>38</v>
      </c>
      <c r="D82" s="12">
        <v>130</v>
      </c>
      <c r="E82" s="4" t="s">
        <v>4</v>
      </c>
      <c r="F82" s="64" t="s">
        <v>4</v>
      </c>
      <c r="G82" s="84"/>
      <c r="H82" s="80">
        <v>46059</v>
      </c>
    </row>
    <row r="83" spans="1:11" ht="15.75" x14ac:dyDescent="0.25">
      <c r="A83" s="5" t="s">
        <v>466</v>
      </c>
      <c r="B83" s="4" t="s">
        <v>15</v>
      </c>
      <c r="C83" s="4" t="s">
        <v>15</v>
      </c>
      <c r="D83" s="12">
        <v>50</v>
      </c>
      <c r="E83" s="4" t="s">
        <v>4</v>
      </c>
      <c r="F83" s="64" t="s">
        <v>4</v>
      </c>
      <c r="G83" s="84"/>
      <c r="H83" s="80">
        <v>46059</v>
      </c>
    </row>
    <row r="84" spans="1:11" ht="15.75" x14ac:dyDescent="0.25">
      <c r="A84" s="5" t="s">
        <v>467</v>
      </c>
      <c r="B84" s="4" t="s">
        <v>15</v>
      </c>
      <c r="C84" s="4" t="s">
        <v>15</v>
      </c>
      <c r="D84" s="12">
        <v>300</v>
      </c>
      <c r="E84" s="4" t="s">
        <v>4</v>
      </c>
      <c r="F84" s="64" t="s">
        <v>4</v>
      </c>
      <c r="G84" s="84"/>
      <c r="H84" s="80">
        <v>46059</v>
      </c>
    </row>
    <row r="85" spans="1:11" ht="15.75" x14ac:dyDescent="0.25">
      <c r="A85" s="5" t="s">
        <v>469</v>
      </c>
      <c r="B85" s="4" t="s">
        <v>15</v>
      </c>
      <c r="C85" s="4" t="s">
        <v>15</v>
      </c>
      <c r="D85" s="12">
        <v>150</v>
      </c>
      <c r="E85" s="4" t="s">
        <v>4</v>
      </c>
      <c r="F85" s="64" t="s">
        <v>4</v>
      </c>
      <c r="G85" s="84"/>
      <c r="H85" s="80">
        <v>46059</v>
      </c>
    </row>
    <row r="86" spans="1:11" ht="15.75" x14ac:dyDescent="0.25">
      <c r="A86" s="5" t="s">
        <v>472</v>
      </c>
      <c r="B86" s="4" t="s">
        <v>148</v>
      </c>
      <c r="C86" s="4" t="s">
        <v>38</v>
      </c>
      <c r="D86" s="14">
        <v>291.62</v>
      </c>
      <c r="E86" s="4" t="s">
        <v>4</v>
      </c>
      <c r="F86" s="64" t="s">
        <v>4</v>
      </c>
      <c r="G86" s="84"/>
      <c r="H86" s="80">
        <v>46059</v>
      </c>
    </row>
    <row r="87" spans="1:11" ht="15.75" x14ac:dyDescent="0.25">
      <c r="A87" s="5" t="s">
        <v>472</v>
      </c>
      <c r="B87" s="83"/>
      <c r="C87" s="83"/>
      <c r="D87" s="14">
        <v>-289.14</v>
      </c>
      <c r="E87" s="4" t="s">
        <v>4</v>
      </c>
      <c r="F87" s="64" t="s">
        <v>4</v>
      </c>
      <c r="G87" s="84"/>
      <c r="H87" s="80">
        <v>46059</v>
      </c>
    </row>
    <row r="88" spans="1:11" ht="15.75" x14ac:dyDescent="0.25">
      <c r="A88" s="5" t="s">
        <v>473</v>
      </c>
      <c r="B88" s="4" t="s">
        <v>148</v>
      </c>
      <c r="C88" s="4" t="s">
        <v>38</v>
      </c>
      <c r="D88" s="12">
        <v>39.9</v>
      </c>
      <c r="E88" s="4" t="s">
        <v>4</v>
      </c>
      <c r="F88" s="64" t="s">
        <v>4</v>
      </c>
      <c r="G88" s="84"/>
      <c r="H88" s="80">
        <v>46059</v>
      </c>
    </row>
    <row r="89" spans="1:11" ht="15.75" x14ac:dyDescent="0.25">
      <c r="A89" s="5" t="s">
        <v>480</v>
      </c>
      <c r="B89" s="4" t="s">
        <v>84</v>
      </c>
      <c r="C89" s="4" t="s">
        <v>84</v>
      </c>
      <c r="D89" s="71">
        <v>200.43</v>
      </c>
      <c r="E89" s="4" t="s">
        <v>4</v>
      </c>
      <c r="F89" s="64" t="s">
        <v>4</v>
      </c>
      <c r="G89" s="53" t="s">
        <v>285</v>
      </c>
      <c r="H89" s="11">
        <v>46062</v>
      </c>
    </row>
    <row r="90" spans="1:11" ht="15.75" x14ac:dyDescent="0.25">
      <c r="A90" s="5" t="s">
        <v>33</v>
      </c>
      <c r="B90" s="4" t="s">
        <v>134</v>
      </c>
      <c r="C90" s="4" t="s">
        <v>38</v>
      </c>
      <c r="D90" s="13">
        <v>99.9</v>
      </c>
      <c r="E90" s="4" t="s">
        <v>4</v>
      </c>
      <c r="F90" s="64" t="s">
        <v>4</v>
      </c>
      <c r="G90" s="53" t="s">
        <v>92</v>
      </c>
      <c r="H90" s="11">
        <v>46062</v>
      </c>
    </row>
    <row r="91" spans="1:11" ht="15.75" x14ac:dyDescent="0.25">
      <c r="A91" s="5" t="s">
        <v>34</v>
      </c>
      <c r="B91" s="4" t="s">
        <v>134</v>
      </c>
      <c r="C91" s="4" t="s">
        <v>38</v>
      </c>
      <c r="D91" s="28">
        <v>80</v>
      </c>
      <c r="E91" s="4" t="s">
        <v>4</v>
      </c>
      <c r="F91" s="64" t="s">
        <v>4</v>
      </c>
      <c r="G91" s="53" t="s">
        <v>92</v>
      </c>
      <c r="H91" s="11">
        <v>46062</v>
      </c>
    </row>
    <row r="92" spans="1:11" ht="15.75" x14ac:dyDescent="0.25">
      <c r="A92" s="5" t="s">
        <v>72</v>
      </c>
      <c r="B92" s="4" t="s">
        <v>149</v>
      </c>
      <c r="C92" s="4" t="s">
        <v>39</v>
      </c>
      <c r="D92" s="12">
        <v>48</v>
      </c>
      <c r="E92" s="4" t="s">
        <v>4</v>
      </c>
      <c r="F92" s="64" t="s">
        <v>4</v>
      </c>
      <c r="G92" s="53" t="s">
        <v>92</v>
      </c>
      <c r="H92" s="11">
        <v>46062</v>
      </c>
    </row>
    <row r="93" spans="1:11" ht="15.75" x14ac:dyDescent="0.25">
      <c r="A93" s="5" t="s">
        <v>75</v>
      </c>
      <c r="B93" s="4" t="s">
        <v>149</v>
      </c>
      <c r="C93" s="4" t="s">
        <v>38</v>
      </c>
      <c r="D93" s="12">
        <v>83.99</v>
      </c>
      <c r="E93" s="4" t="s">
        <v>4</v>
      </c>
      <c r="F93" s="64" t="s">
        <v>4</v>
      </c>
      <c r="G93" s="53" t="s">
        <v>92</v>
      </c>
      <c r="H93" s="11">
        <v>46062</v>
      </c>
    </row>
    <row r="94" spans="1:11" ht="15.75" x14ac:dyDescent="0.25">
      <c r="A94" s="5" t="s">
        <v>156</v>
      </c>
      <c r="B94" s="4" t="s">
        <v>148</v>
      </c>
      <c r="C94" s="4" t="s">
        <v>38</v>
      </c>
      <c r="D94" s="38">
        <v>600</v>
      </c>
      <c r="E94" s="4" t="s">
        <v>4</v>
      </c>
      <c r="F94" s="64" t="s">
        <v>4</v>
      </c>
      <c r="G94" s="53" t="s">
        <v>92</v>
      </c>
      <c r="H94" s="11">
        <v>46062</v>
      </c>
    </row>
    <row r="95" spans="1:11" ht="15.75" x14ac:dyDescent="0.25">
      <c r="A95" s="5" t="s">
        <v>235</v>
      </c>
      <c r="B95" s="4" t="s">
        <v>148</v>
      </c>
      <c r="C95" s="4" t="s">
        <v>38</v>
      </c>
      <c r="D95" s="12">
        <v>1638</v>
      </c>
      <c r="E95" s="4" t="s">
        <v>4</v>
      </c>
      <c r="F95" s="64" t="s">
        <v>4</v>
      </c>
      <c r="G95" s="53" t="s">
        <v>92</v>
      </c>
      <c r="H95" s="11">
        <v>46062</v>
      </c>
    </row>
    <row r="96" spans="1:11" ht="15.75" x14ac:dyDescent="0.25">
      <c r="A96" s="5" t="s">
        <v>18</v>
      </c>
      <c r="B96" s="4" t="s">
        <v>148</v>
      </c>
      <c r="C96" s="4" t="s">
        <v>38</v>
      </c>
      <c r="D96" s="13">
        <v>95.87</v>
      </c>
      <c r="E96" s="4" t="s">
        <v>4</v>
      </c>
      <c r="F96" s="64" t="s">
        <v>4</v>
      </c>
      <c r="G96" s="53" t="s">
        <v>92</v>
      </c>
      <c r="H96" s="11">
        <v>46062</v>
      </c>
      <c r="K96" s="26"/>
    </row>
    <row r="97" spans="1:13" ht="15.75" x14ac:dyDescent="0.25">
      <c r="A97" s="5" t="s">
        <v>488</v>
      </c>
      <c r="B97" s="4" t="s">
        <v>148</v>
      </c>
      <c r="C97" s="4" t="s">
        <v>38</v>
      </c>
      <c r="D97" s="33">
        <v>114</v>
      </c>
      <c r="E97" s="4" t="s">
        <v>4</v>
      </c>
      <c r="F97" s="64" t="s">
        <v>4</v>
      </c>
      <c r="G97" s="53" t="s">
        <v>92</v>
      </c>
      <c r="H97" s="11">
        <v>46062</v>
      </c>
    </row>
    <row r="98" spans="1:13" ht="15.75" x14ac:dyDescent="0.25">
      <c r="A98" s="5" t="s">
        <v>486</v>
      </c>
      <c r="B98" s="44" t="s">
        <v>152</v>
      </c>
      <c r="C98" s="44" t="s">
        <v>38</v>
      </c>
      <c r="D98" s="13">
        <v>51.93</v>
      </c>
      <c r="E98" s="4" t="s">
        <v>4</v>
      </c>
      <c r="F98" s="64" t="s">
        <v>4</v>
      </c>
      <c r="G98" s="53" t="s">
        <v>92</v>
      </c>
      <c r="H98" s="11">
        <v>46062</v>
      </c>
    </row>
    <row r="99" spans="1:13" ht="15.75" x14ac:dyDescent="0.25">
      <c r="A99" s="5" t="s">
        <v>71</v>
      </c>
      <c r="B99" s="4" t="s">
        <v>148</v>
      </c>
      <c r="C99" s="4" t="s">
        <v>38</v>
      </c>
      <c r="D99" s="39">
        <v>50</v>
      </c>
      <c r="E99" s="4" t="s">
        <v>4</v>
      </c>
      <c r="F99" s="64" t="s">
        <v>4</v>
      </c>
      <c r="G99" s="53" t="s">
        <v>92</v>
      </c>
      <c r="H99" s="11">
        <v>46062</v>
      </c>
    </row>
    <row r="100" spans="1:13" ht="15.75" x14ac:dyDescent="0.25">
      <c r="A100" s="5" t="s">
        <v>21</v>
      </c>
      <c r="B100" s="4" t="s">
        <v>137</v>
      </c>
      <c r="C100" s="4" t="s">
        <v>38</v>
      </c>
      <c r="D100" s="12">
        <v>1621</v>
      </c>
      <c r="E100" s="4" t="s">
        <v>4</v>
      </c>
      <c r="F100" s="64" t="s">
        <v>4</v>
      </c>
      <c r="G100" s="53" t="s">
        <v>92</v>
      </c>
      <c r="H100" s="11">
        <v>46062</v>
      </c>
      <c r="K100" s="26"/>
    </row>
    <row r="101" spans="1:13" ht="15.75" x14ac:dyDescent="0.25">
      <c r="A101" s="5" t="s">
        <v>22</v>
      </c>
      <c r="B101" s="4" t="s">
        <v>137</v>
      </c>
      <c r="C101" s="4" t="s">
        <v>38</v>
      </c>
      <c r="D101" s="12">
        <v>1621</v>
      </c>
      <c r="E101" s="4" t="s">
        <v>4</v>
      </c>
      <c r="F101" s="64" t="s">
        <v>4</v>
      </c>
      <c r="G101" s="53" t="s">
        <v>92</v>
      </c>
      <c r="H101" s="11">
        <v>46062</v>
      </c>
    </row>
    <row r="102" spans="1:13" ht="15.75" x14ac:dyDescent="0.25">
      <c r="A102" s="5" t="s">
        <v>23</v>
      </c>
      <c r="B102" s="4" t="s">
        <v>137</v>
      </c>
      <c r="C102" s="4" t="s">
        <v>38</v>
      </c>
      <c r="D102" s="12">
        <v>1621</v>
      </c>
      <c r="E102" s="4" t="s">
        <v>4</v>
      </c>
      <c r="F102" s="64" t="s">
        <v>4</v>
      </c>
      <c r="G102" s="53" t="s">
        <v>92</v>
      </c>
      <c r="H102" s="11">
        <v>46062</v>
      </c>
      <c r="K102" t="s">
        <v>69</v>
      </c>
    </row>
    <row r="103" spans="1:13" ht="15.75" x14ac:dyDescent="0.25">
      <c r="A103" s="5" t="s">
        <v>24</v>
      </c>
      <c r="B103" s="4" t="s">
        <v>137</v>
      </c>
      <c r="C103" s="4" t="s">
        <v>38</v>
      </c>
      <c r="D103" s="12">
        <v>1621</v>
      </c>
      <c r="E103" s="4" t="s">
        <v>4</v>
      </c>
      <c r="F103" s="64" t="s">
        <v>4</v>
      </c>
      <c r="G103" s="53" t="s">
        <v>92</v>
      </c>
      <c r="H103" s="11">
        <v>46062</v>
      </c>
    </row>
    <row r="104" spans="1:13" ht="15.75" x14ac:dyDescent="0.25">
      <c r="A104" s="5" t="s">
        <v>25</v>
      </c>
      <c r="B104" s="4" t="s">
        <v>137</v>
      </c>
      <c r="C104" s="4" t="s">
        <v>38</v>
      </c>
      <c r="D104" s="12">
        <v>2550</v>
      </c>
      <c r="E104" s="4" t="s">
        <v>4</v>
      </c>
      <c r="F104" s="64" t="s">
        <v>4</v>
      </c>
      <c r="G104" s="53" t="s">
        <v>92</v>
      </c>
      <c r="H104" s="11">
        <v>46062</v>
      </c>
    </row>
    <row r="105" spans="1:13" ht="15.75" x14ac:dyDescent="0.25">
      <c r="A105" s="5" t="s">
        <v>26</v>
      </c>
      <c r="B105" s="4" t="s">
        <v>137</v>
      </c>
      <c r="C105" s="4" t="s">
        <v>39</v>
      </c>
      <c r="D105" s="13">
        <v>175</v>
      </c>
      <c r="E105" s="4" t="s">
        <v>4</v>
      </c>
      <c r="F105" s="64" t="s">
        <v>4</v>
      </c>
      <c r="G105" s="53" t="s">
        <v>92</v>
      </c>
      <c r="H105" s="11">
        <v>46062</v>
      </c>
    </row>
    <row r="106" spans="1:13" ht="15.75" x14ac:dyDescent="0.25">
      <c r="A106" s="5" t="s">
        <v>253</v>
      </c>
      <c r="B106" s="4" t="s">
        <v>15</v>
      </c>
      <c r="C106" s="4" t="s">
        <v>15</v>
      </c>
      <c r="D106" s="43">
        <v>1100</v>
      </c>
      <c r="E106" s="4" t="s">
        <v>4</v>
      </c>
      <c r="F106" s="64" t="s">
        <v>4</v>
      </c>
      <c r="G106" s="53" t="s">
        <v>92</v>
      </c>
      <c r="H106" s="11">
        <v>46062</v>
      </c>
    </row>
    <row r="107" spans="1:13" ht="15.75" x14ac:dyDescent="0.25">
      <c r="A107" s="5" t="s">
        <v>489</v>
      </c>
      <c r="B107" s="4" t="s">
        <v>15</v>
      </c>
      <c r="C107" s="4" t="s">
        <v>15</v>
      </c>
      <c r="D107" s="43">
        <v>1500</v>
      </c>
      <c r="E107" s="4" t="s">
        <v>4</v>
      </c>
      <c r="F107" s="64" t="s">
        <v>4</v>
      </c>
      <c r="G107" s="53" t="s">
        <v>92</v>
      </c>
      <c r="H107" s="11">
        <v>46062</v>
      </c>
    </row>
    <row r="108" spans="1:13" ht="15.75" x14ac:dyDescent="0.25">
      <c r="A108" s="5" t="s">
        <v>490</v>
      </c>
      <c r="B108" s="4" t="s">
        <v>15</v>
      </c>
      <c r="C108" s="4" t="s">
        <v>15</v>
      </c>
      <c r="D108" s="43">
        <v>600</v>
      </c>
      <c r="E108" s="4" t="s">
        <v>4</v>
      </c>
      <c r="F108" s="64" t="s">
        <v>4</v>
      </c>
      <c r="G108" s="53" t="s">
        <v>92</v>
      </c>
      <c r="H108" s="11">
        <v>46062</v>
      </c>
    </row>
    <row r="109" spans="1:13" ht="15.75" x14ac:dyDescent="0.25">
      <c r="A109" s="5" t="s">
        <v>491</v>
      </c>
      <c r="B109" s="4" t="s">
        <v>15</v>
      </c>
      <c r="C109" s="4" t="s">
        <v>15</v>
      </c>
      <c r="D109" s="43">
        <v>450</v>
      </c>
      <c r="E109" s="4" t="s">
        <v>4</v>
      </c>
      <c r="F109" s="64" t="s">
        <v>4</v>
      </c>
      <c r="G109" s="53" t="s">
        <v>92</v>
      </c>
      <c r="H109" s="11">
        <v>46062</v>
      </c>
    </row>
    <row r="110" spans="1:13" ht="15.75" x14ac:dyDescent="0.25">
      <c r="A110" s="5" t="s">
        <v>492</v>
      </c>
      <c r="B110" s="4" t="s">
        <v>15</v>
      </c>
      <c r="C110" s="4" t="s">
        <v>15</v>
      </c>
      <c r="D110" s="66">
        <v>400</v>
      </c>
      <c r="E110" s="4" t="s">
        <v>4</v>
      </c>
      <c r="F110" s="64" t="s">
        <v>4</v>
      </c>
      <c r="G110" s="53" t="s">
        <v>92</v>
      </c>
      <c r="H110" s="11">
        <v>46062</v>
      </c>
    </row>
    <row r="111" spans="1:13" ht="15.75" x14ac:dyDescent="0.25">
      <c r="A111" s="5" t="s">
        <v>493</v>
      </c>
      <c r="B111" s="4" t="s">
        <v>15</v>
      </c>
      <c r="C111" s="4" t="s">
        <v>15</v>
      </c>
      <c r="D111" s="43">
        <v>500</v>
      </c>
      <c r="E111" s="4" t="s">
        <v>4</v>
      </c>
      <c r="F111" s="64" t="s">
        <v>4</v>
      </c>
      <c r="G111" s="53" t="s">
        <v>92</v>
      </c>
      <c r="H111" s="11">
        <v>46062</v>
      </c>
      <c r="M111" s="26"/>
    </row>
    <row r="112" spans="1:13" ht="15.75" x14ac:dyDescent="0.25">
      <c r="A112" s="5" t="s">
        <v>494</v>
      </c>
      <c r="B112" s="4" t="s">
        <v>15</v>
      </c>
      <c r="C112" s="4" t="s">
        <v>15</v>
      </c>
      <c r="D112" s="41">
        <v>150</v>
      </c>
      <c r="E112" s="4" t="s">
        <v>4</v>
      </c>
      <c r="F112" s="64" t="s">
        <v>4</v>
      </c>
      <c r="G112" s="53" t="s">
        <v>92</v>
      </c>
      <c r="H112" s="11">
        <v>46062</v>
      </c>
      <c r="M112" s="26"/>
    </row>
    <row r="113" spans="1:13" ht="15.75" x14ac:dyDescent="0.25">
      <c r="A113" s="5" t="s">
        <v>495</v>
      </c>
      <c r="B113" s="4" t="s">
        <v>15</v>
      </c>
      <c r="C113" s="4" t="s">
        <v>15</v>
      </c>
      <c r="D113" s="86">
        <v>50</v>
      </c>
      <c r="E113" s="4" t="s">
        <v>4</v>
      </c>
      <c r="F113" s="64" t="s">
        <v>4</v>
      </c>
      <c r="G113" s="53" t="s">
        <v>92</v>
      </c>
      <c r="H113" s="11">
        <v>46062</v>
      </c>
    </row>
    <row r="114" spans="1:13" ht="15.75" x14ac:dyDescent="0.25">
      <c r="A114" s="5" t="s">
        <v>496</v>
      </c>
      <c r="B114" s="4" t="s">
        <v>15</v>
      </c>
      <c r="C114" s="4" t="s">
        <v>15</v>
      </c>
      <c r="D114" s="86">
        <v>50</v>
      </c>
      <c r="E114" s="4" t="s">
        <v>4</v>
      </c>
      <c r="F114" s="64" t="s">
        <v>4</v>
      </c>
      <c r="G114" s="53" t="s">
        <v>92</v>
      </c>
      <c r="H114" s="11">
        <v>46062</v>
      </c>
    </row>
    <row r="115" spans="1:13" ht="15.75" x14ac:dyDescent="0.25">
      <c r="A115" s="5" t="s">
        <v>223</v>
      </c>
      <c r="B115" s="4" t="s">
        <v>15</v>
      </c>
      <c r="C115" s="4" t="s">
        <v>15</v>
      </c>
      <c r="D115" s="41">
        <v>50</v>
      </c>
      <c r="E115" s="4" t="s">
        <v>4</v>
      </c>
      <c r="F115" s="64" t="s">
        <v>4</v>
      </c>
      <c r="G115" s="53" t="s">
        <v>92</v>
      </c>
      <c r="H115" s="11">
        <v>46062</v>
      </c>
    </row>
    <row r="116" spans="1:13" ht="15.75" x14ac:dyDescent="0.25">
      <c r="A116" s="5" t="s">
        <v>497</v>
      </c>
      <c r="B116" s="4" t="s">
        <v>15</v>
      </c>
      <c r="C116" s="4" t="s">
        <v>15</v>
      </c>
      <c r="D116" s="43">
        <v>400</v>
      </c>
      <c r="E116" s="4" t="s">
        <v>4</v>
      </c>
      <c r="F116" s="64" t="s">
        <v>4</v>
      </c>
      <c r="G116" s="53" t="s">
        <v>92</v>
      </c>
      <c r="H116" s="11">
        <v>46062</v>
      </c>
    </row>
    <row r="117" spans="1:13" ht="15.75" x14ac:dyDescent="0.25">
      <c r="A117" s="5" t="s">
        <v>251</v>
      </c>
      <c r="B117" s="4" t="s">
        <v>15</v>
      </c>
      <c r="C117" s="4" t="s">
        <v>15</v>
      </c>
      <c r="D117" s="43">
        <v>300</v>
      </c>
      <c r="E117" s="4" t="s">
        <v>4</v>
      </c>
      <c r="F117" s="64" t="s">
        <v>4</v>
      </c>
      <c r="G117" s="53" t="s">
        <v>92</v>
      </c>
      <c r="H117" s="11">
        <v>46062</v>
      </c>
      <c r="M117" t="s">
        <v>487</v>
      </c>
    </row>
    <row r="118" spans="1:13" ht="15.75" x14ac:dyDescent="0.25">
      <c r="A118" s="5" t="s">
        <v>498</v>
      </c>
      <c r="B118" s="4" t="s">
        <v>15</v>
      </c>
      <c r="C118" s="4" t="s">
        <v>15</v>
      </c>
      <c r="D118" s="52">
        <v>50</v>
      </c>
      <c r="E118" s="4" t="s">
        <v>4</v>
      </c>
      <c r="F118" s="64" t="s">
        <v>4</v>
      </c>
      <c r="G118" s="53" t="s">
        <v>92</v>
      </c>
      <c r="H118" s="11">
        <v>46062</v>
      </c>
    </row>
    <row r="119" spans="1:13" ht="15.75" x14ac:dyDescent="0.25">
      <c r="A119" s="5" t="s">
        <v>499</v>
      </c>
      <c r="B119" s="4" t="s">
        <v>15</v>
      </c>
      <c r="C119" s="4" t="s">
        <v>15</v>
      </c>
      <c r="D119" s="52">
        <v>50</v>
      </c>
      <c r="E119" s="4" t="s">
        <v>4</v>
      </c>
      <c r="F119" s="64" t="s">
        <v>4</v>
      </c>
      <c r="G119" s="53" t="s">
        <v>92</v>
      </c>
      <c r="H119" s="11">
        <v>46062</v>
      </c>
    </row>
    <row r="120" spans="1:13" ht="15.75" x14ac:dyDescent="0.25">
      <c r="A120" s="5" t="s">
        <v>249</v>
      </c>
      <c r="B120" s="4" t="s">
        <v>15</v>
      </c>
      <c r="C120" s="4" t="s">
        <v>15</v>
      </c>
      <c r="D120" s="52">
        <v>50</v>
      </c>
      <c r="E120" s="4" t="s">
        <v>4</v>
      </c>
      <c r="F120" s="64" t="s">
        <v>4</v>
      </c>
      <c r="G120" s="53" t="s">
        <v>92</v>
      </c>
      <c r="H120" s="11">
        <v>46062</v>
      </c>
    </row>
    <row r="121" spans="1:13" ht="15.75" x14ac:dyDescent="0.25">
      <c r="A121" s="5" t="s">
        <v>250</v>
      </c>
      <c r="B121" s="4" t="s">
        <v>15</v>
      </c>
      <c r="C121" s="4" t="s">
        <v>15</v>
      </c>
      <c r="D121" s="52">
        <v>50</v>
      </c>
      <c r="E121" s="4" t="s">
        <v>4</v>
      </c>
      <c r="F121" s="64" t="s">
        <v>4</v>
      </c>
      <c r="G121" s="53" t="s">
        <v>92</v>
      </c>
      <c r="H121" s="11">
        <v>46062</v>
      </c>
    </row>
    <row r="122" spans="1:13" ht="15.75" x14ac:dyDescent="0.25">
      <c r="A122" s="5" t="s">
        <v>474</v>
      </c>
      <c r="B122" s="4" t="s">
        <v>84</v>
      </c>
      <c r="C122" s="4" t="s">
        <v>84</v>
      </c>
      <c r="D122" s="12">
        <v>187.9</v>
      </c>
      <c r="E122" s="4" t="s">
        <v>4</v>
      </c>
      <c r="F122" s="64" t="s">
        <v>4</v>
      </c>
      <c r="G122" s="53" t="s">
        <v>94</v>
      </c>
      <c r="H122" s="11">
        <v>46062</v>
      </c>
    </row>
    <row r="123" spans="1:13" ht="15.75" x14ac:dyDescent="0.25">
      <c r="A123" s="5" t="s">
        <v>477</v>
      </c>
      <c r="B123" s="4" t="s">
        <v>84</v>
      </c>
      <c r="C123" s="4" t="s">
        <v>84</v>
      </c>
      <c r="D123" s="12">
        <v>172.42</v>
      </c>
      <c r="E123" s="4" t="s">
        <v>4</v>
      </c>
      <c r="F123" s="64" t="s">
        <v>4</v>
      </c>
      <c r="G123" s="53" t="s">
        <v>94</v>
      </c>
      <c r="H123" s="11">
        <v>46062</v>
      </c>
    </row>
    <row r="124" spans="1:13" ht="15.75" x14ac:dyDescent="0.25">
      <c r="A124" s="5" t="s">
        <v>479</v>
      </c>
      <c r="B124" s="4" t="s">
        <v>84</v>
      </c>
      <c r="C124" s="4" t="s">
        <v>84</v>
      </c>
      <c r="D124" s="71">
        <v>187.9</v>
      </c>
      <c r="E124" s="4" t="s">
        <v>4</v>
      </c>
      <c r="F124" s="64" t="s">
        <v>4</v>
      </c>
      <c r="G124" s="53" t="s">
        <v>94</v>
      </c>
      <c r="H124" s="11">
        <v>46062</v>
      </c>
    </row>
    <row r="125" spans="1:13" ht="15.75" x14ac:dyDescent="0.25">
      <c r="A125" s="5" t="s">
        <v>481</v>
      </c>
      <c r="B125" s="4" t="s">
        <v>84</v>
      </c>
      <c r="C125" s="4" t="s">
        <v>84</v>
      </c>
      <c r="D125" s="71">
        <v>216.44</v>
      </c>
      <c r="E125" s="4" t="s">
        <v>4</v>
      </c>
      <c r="F125" s="64" t="s">
        <v>4</v>
      </c>
      <c r="G125" s="53" t="s">
        <v>94</v>
      </c>
      <c r="H125" s="11">
        <v>46062</v>
      </c>
    </row>
    <row r="126" spans="1:13" ht="15.75" x14ac:dyDescent="0.25">
      <c r="A126" s="5" t="s">
        <v>476</v>
      </c>
      <c r="B126" s="4" t="s">
        <v>84</v>
      </c>
      <c r="C126" s="4" t="s">
        <v>84</v>
      </c>
      <c r="D126" s="12">
        <v>172.42</v>
      </c>
      <c r="E126" s="4" t="s">
        <v>4</v>
      </c>
      <c r="F126" s="64" t="s">
        <v>4</v>
      </c>
      <c r="G126" s="53" t="s">
        <v>101</v>
      </c>
      <c r="H126" s="11">
        <v>46062</v>
      </c>
    </row>
    <row r="127" spans="1:13" ht="15.75" x14ac:dyDescent="0.25">
      <c r="A127" s="5" t="s">
        <v>74</v>
      </c>
      <c r="B127" s="4" t="s">
        <v>149</v>
      </c>
      <c r="C127" s="4" t="s">
        <v>38</v>
      </c>
      <c r="D127" s="43">
        <v>189.71</v>
      </c>
      <c r="E127" s="4" t="s">
        <v>4</v>
      </c>
      <c r="F127" s="64" t="s">
        <v>4</v>
      </c>
      <c r="G127" s="53" t="s">
        <v>102</v>
      </c>
      <c r="H127" s="11">
        <v>46062</v>
      </c>
    </row>
    <row r="128" spans="1:13" ht="15.75" x14ac:dyDescent="0.25">
      <c r="A128" s="5" t="s">
        <v>475</v>
      </c>
      <c r="B128" s="4" t="s">
        <v>84</v>
      </c>
      <c r="C128" s="4" t="s">
        <v>84</v>
      </c>
      <c r="D128" s="12">
        <v>187.9</v>
      </c>
      <c r="E128" s="4" t="s">
        <v>4</v>
      </c>
      <c r="F128" s="64" t="s">
        <v>4</v>
      </c>
      <c r="G128" s="53" t="s">
        <v>102</v>
      </c>
      <c r="H128" s="11">
        <v>46062</v>
      </c>
    </row>
    <row r="129" spans="1:8" ht="15.75" x14ac:dyDescent="0.25">
      <c r="A129" s="5" t="s">
        <v>478</v>
      </c>
      <c r="B129" s="4" t="s">
        <v>84</v>
      </c>
      <c r="C129" s="4" t="s">
        <v>84</v>
      </c>
      <c r="D129" s="12">
        <v>187.9</v>
      </c>
      <c r="E129" s="4" t="s">
        <v>4</v>
      </c>
      <c r="F129" s="64" t="s">
        <v>4</v>
      </c>
      <c r="G129" s="53" t="s">
        <v>102</v>
      </c>
      <c r="H129" s="11">
        <v>46062</v>
      </c>
    </row>
    <row r="130" spans="1:8" ht="15.75" x14ac:dyDescent="0.25">
      <c r="A130" s="5" t="s">
        <v>205</v>
      </c>
      <c r="B130" s="4" t="s">
        <v>148</v>
      </c>
      <c r="C130" s="4" t="s">
        <v>38</v>
      </c>
      <c r="D130" s="52">
        <v>500</v>
      </c>
      <c r="E130" s="4" t="s">
        <v>4</v>
      </c>
      <c r="F130" s="64" t="s">
        <v>4</v>
      </c>
      <c r="G130" s="49"/>
      <c r="H130" s="11">
        <v>46062</v>
      </c>
    </row>
    <row r="131" spans="1:8" ht="15.75" x14ac:dyDescent="0.25">
      <c r="A131" s="5" t="s">
        <v>484</v>
      </c>
      <c r="B131" s="4" t="s">
        <v>148</v>
      </c>
      <c r="C131" s="4" t="s">
        <v>38</v>
      </c>
      <c r="D131" s="71">
        <v>225</v>
      </c>
      <c r="E131" s="4" t="s">
        <v>4</v>
      </c>
      <c r="F131" s="64" t="s">
        <v>4</v>
      </c>
      <c r="G131" s="68"/>
      <c r="H131" s="11">
        <v>46062</v>
      </c>
    </row>
    <row r="132" spans="1:8" ht="15.75" x14ac:dyDescent="0.25">
      <c r="A132" s="5" t="s">
        <v>482</v>
      </c>
      <c r="B132" s="4" t="s">
        <v>148</v>
      </c>
      <c r="C132" s="4" t="s">
        <v>38</v>
      </c>
      <c r="D132" s="12">
        <v>165</v>
      </c>
      <c r="E132" s="4" t="s">
        <v>4</v>
      </c>
      <c r="F132" s="64" t="s">
        <v>4</v>
      </c>
      <c r="G132" s="84"/>
      <c r="H132" s="11">
        <v>46062</v>
      </c>
    </row>
    <row r="133" spans="1:8" ht="15.75" x14ac:dyDescent="0.25">
      <c r="A133" s="5" t="s">
        <v>483</v>
      </c>
      <c r="B133" s="4" t="s">
        <v>148</v>
      </c>
      <c r="C133" s="4" t="s">
        <v>38</v>
      </c>
      <c r="D133" s="12">
        <v>80</v>
      </c>
      <c r="E133" s="4" t="s">
        <v>4</v>
      </c>
      <c r="F133" s="64" t="s">
        <v>4</v>
      </c>
      <c r="G133" s="84"/>
      <c r="H133" s="11">
        <v>46062</v>
      </c>
    </row>
    <row r="134" spans="1:8" ht="15.75" x14ac:dyDescent="0.25">
      <c r="A134" s="5" t="s">
        <v>226</v>
      </c>
      <c r="B134" s="4" t="s">
        <v>148</v>
      </c>
      <c r="C134" s="4" t="s">
        <v>38</v>
      </c>
      <c r="D134" s="12">
        <v>337.51</v>
      </c>
      <c r="E134" s="4" t="s">
        <v>4</v>
      </c>
      <c r="F134" s="64" t="s">
        <v>4</v>
      </c>
      <c r="G134" s="23"/>
      <c r="H134" s="11">
        <v>46062</v>
      </c>
    </row>
    <row r="135" spans="1:8" ht="15.75" x14ac:dyDescent="0.25">
      <c r="A135" s="5" t="s">
        <v>181</v>
      </c>
      <c r="B135" s="4" t="s">
        <v>148</v>
      </c>
      <c r="C135" s="4" t="s">
        <v>38</v>
      </c>
      <c r="D135" s="12">
        <v>152</v>
      </c>
      <c r="E135" s="4" t="s">
        <v>4</v>
      </c>
      <c r="F135" s="64" t="s">
        <v>4</v>
      </c>
      <c r="G135" s="84"/>
      <c r="H135" s="11">
        <v>46062</v>
      </c>
    </row>
    <row r="136" spans="1:8" ht="15.75" x14ac:dyDescent="0.25">
      <c r="A136" s="5" t="s">
        <v>410</v>
      </c>
      <c r="B136" s="4" t="s">
        <v>148</v>
      </c>
      <c r="C136" s="4" t="s">
        <v>39</v>
      </c>
      <c r="D136" s="12">
        <v>75</v>
      </c>
      <c r="E136" s="4" t="s">
        <v>4</v>
      </c>
      <c r="F136" s="64" t="s">
        <v>4</v>
      </c>
      <c r="G136" s="84"/>
      <c r="H136" s="11">
        <v>46062</v>
      </c>
    </row>
    <row r="137" spans="1:8" ht="15.75" x14ac:dyDescent="0.25">
      <c r="A137" s="5" t="s">
        <v>210</v>
      </c>
      <c r="B137" s="4" t="s">
        <v>148</v>
      </c>
      <c r="C137" s="4" t="s">
        <v>38</v>
      </c>
      <c r="D137" s="52">
        <v>22</v>
      </c>
      <c r="E137" s="4" t="s">
        <v>4</v>
      </c>
      <c r="F137" s="64" t="s">
        <v>4</v>
      </c>
      <c r="G137" s="49"/>
      <c r="H137" s="11">
        <v>46062</v>
      </c>
    </row>
    <row r="138" spans="1:8" ht="15.75" x14ac:dyDescent="0.25">
      <c r="A138" s="5" t="s">
        <v>87</v>
      </c>
      <c r="B138" s="4" t="s">
        <v>148</v>
      </c>
      <c r="C138" s="4" t="s">
        <v>38</v>
      </c>
      <c r="D138" s="71">
        <v>120</v>
      </c>
      <c r="E138" s="4" t="s">
        <v>4</v>
      </c>
      <c r="F138" s="64" t="s">
        <v>4</v>
      </c>
      <c r="G138" s="68"/>
      <c r="H138" s="11">
        <v>46062</v>
      </c>
    </row>
    <row r="139" spans="1:8" ht="15.75" x14ac:dyDescent="0.25">
      <c r="A139" s="5" t="s">
        <v>83</v>
      </c>
      <c r="B139" s="4" t="s">
        <v>148</v>
      </c>
      <c r="C139" s="4" t="s">
        <v>38</v>
      </c>
      <c r="D139" s="86">
        <v>100</v>
      </c>
      <c r="E139" s="4" t="s">
        <v>4</v>
      </c>
      <c r="F139" s="64" t="s">
        <v>4</v>
      </c>
      <c r="G139" s="84"/>
      <c r="H139" s="11">
        <v>46062</v>
      </c>
    </row>
    <row r="140" spans="1:8" ht="15.75" x14ac:dyDescent="0.25">
      <c r="A140" s="5" t="s">
        <v>200</v>
      </c>
      <c r="B140" s="4" t="s">
        <v>148</v>
      </c>
      <c r="C140" s="4" t="s">
        <v>38</v>
      </c>
      <c r="D140" s="71">
        <v>250</v>
      </c>
      <c r="E140" s="4" t="s">
        <v>4</v>
      </c>
      <c r="F140" s="64" t="s">
        <v>4</v>
      </c>
      <c r="G140" s="68"/>
      <c r="H140" s="11">
        <v>46062</v>
      </c>
    </row>
    <row r="141" spans="1:8" ht="15.75" x14ac:dyDescent="0.25">
      <c r="A141" s="5" t="s">
        <v>485</v>
      </c>
      <c r="B141" s="4" t="s">
        <v>148</v>
      </c>
      <c r="C141" s="4" t="s">
        <v>38</v>
      </c>
      <c r="D141" s="12">
        <v>135</v>
      </c>
      <c r="E141" s="4" t="s">
        <v>4</v>
      </c>
      <c r="F141" s="64" t="s">
        <v>4</v>
      </c>
      <c r="G141" s="84"/>
      <c r="H141" s="11">
        <v>46062</v>
      </c>
    </row>
    <row r="142" spans="1:8" ht="15.75" x14ac:dyDescent="0.25">
      <c r="A142" s="5" t="s">
        <v>196</v>
      </c>
      <c r="B142" s="4" t="s">
        <v>149</v>
      </c>
      <c r="C142" s="4" t="s">
        <v>39</v>
      </c>
      <c r="D142" s="13">
        <v>713.64</v>
      </c>
      <c r="E142" s="4" t="s">
        <v>4</v>
      </c>
      <c r="F142" s="64" t="s">
        <v>4</v>
      </c>
      <c r="G142" s="53" t="s">
        <v>92</v>
      </c>
      <c r="H142" s="85">
        <v>46064</v>
      </c>
    </row>
    <row r="143" spans="1:8" ht="15.75" x14ac:dyDescent="0.25">
      <c r="A143" s="5" t="s">
        <v>77</v>
      </c>
      <c r="B143" s="4" t="s">
        <v>148</v>
      </c>
      <c r="C143" s="4" t="s">
        <v>38</v>
      </c>
      <c r="D143" s="13">
        <v>29</v>
      </c>
      <c r="E143" s="4" t="s">
        <v>4</v>
      </c>
      <c r="F143" s="64" t="s">
        <v>4</v>
      </c>
      <c r="G143" s="53" t="s">
        <v>92</v>
      </c>
      <c r="H143" s="85">
        <v>46064</v>
      </c>
    </row>
    <row r="144" spans="1:8" ht="15.75" x14ac:dyDescent="0.25">
      <c r="A144" s="5" t="s">
        <v>500</v>
      </c>
      <c r="B144" s="4" t="s">
        <v>148</v>
      </c>
      <c r="C144" s="4" t="s">
        <v>38</v>
      </c>
      <c r="D144" s="13">
        <v>10</v>
      </c>
      <c r="E144" s="4" t="s">
        <v>4</v>
      </c>
      <c r="F144" s="64" t="s">
        <v>4</v>
      </c>
      <c r="G144" s="53" t="s">
        <v>92</v>
      </c>
      <c r="H144" s="85">
        <v>46064</v>
      </c>
    </row>
    <row r="145" spans="1:13" ht="15.75" x14ac:dyDescent="0.25">
      <c r="A145" s="5" t="s">
        <v>20</v>
      </c>
      <c r="B145" s="4" t="s">
        <v>136</v>
      </c>
      <c r="C145" s="4" t="s">
        <v>39</v>
      </c>
      <c r="D145" s="33">
        <v>3679.44</v>
      </c>
      <c r="E145" s="4" t="s">
        <v>4</v>
      </c>
      <c r="F145" s="64" t="s">
        <v>4</v>
      </c>
      <c r="G145" s="53" t="s">
        <v>92</v>
      </c>
      <c r="H145" s="85">
        <v>46064</v>
      </c>
    </row>
    <row r="146" spans="1:13" ht="15.75" x14ac:dyDescent="0.25">
      <c r="A146" s="5" t="s">
        <v>19</v>
      </c>
      <c r="B146" s="4" t="s">
        <v>136</v>
      </c>
      <c r="C146" s="4" t="s">
        <v>39</v>
      </c>
      <c r="D146" s="12">
        <v>1341.26</v>
      </c>
      <c r="E146" s="4" t="s">
        <v>4</v>
      </c>
      <c r="F146" s="64" t="s">
        <v>4</v>
      </c>
      <c r="G146" s="53" t="s">
        <v>92</v>
      </c>
      <c r="H146" s="85">
        <v>46064</v>
      </c>
    </row>
    <row r="147" spans="1:13" ht="15.75" x14ac:dyDescent="0.25">
      <c r="A147" s="5" t="s">
        <v>501</v>
      </c>
      <c r="B147" s="4" t="s">
        <v>136</v>
      </c>
      <c r="C147" s="4" t="s">
        <v>39</v>
      </c>
      <c r="D147" s="12">
        <v>1170.2</v>
      </c>
      <c r="E147" s="4" t="s">
        <v>4</v>
      </c>
      <c r="F147" s="64" t="s">
        <v>4</v>
      </c>
      <c r="G147" s="53" t="s">
        <v>92</v>
      </c>
      <c r="H147" s="85">
        <v>46064</v>
      </c>
    </row>
    <row r="148" spans="1:13" ht="15.75" x14ac:dyDescent="0.25">
      <c r="A148" s="5" t="s">
        <v>158</v>
      </c>
      <c r="B148" s="4" t="s">
        <v>136</v>
      </c>
      <c r="C148" s="4" t="s">
        <v>39</v>
      </c>
      <c r="D148" s="12">
        <v>538.77</v>
      </c>
      <c r="E148" s="4" t="s">
        <v>4</v>
      </c>
      <c r="F148" s="64" t="s">
        <v>4</v>
      </c>
      <c r="G148" s="53" t="s">
        <v>92</v>
      </c>
      <c r="H148" s="85">
        <v>46064</v>
      </c>
    </row>
    <row r="149" spans="1:13" ht="15.75" x14ac:dyDescent="0.25">
      <c r="A149" s="5" t="s">
        <v>111</v>
      </c>
      <c r="B149" s="4" t="s">
        <v>149</v>
      </c>
      <c r="C149" s="4" t="s">
        <v>38</v>
      </c>
      <c r="D149" s="36">
        <v>50.99</v>
      </c>
      <c r="E149" s="4" t="s">
        <v>4</v>
      </c>
      <c r="F149" s="64" t="s">
        <v>4</v>
      </c>
      <c r="G149" s="53" t="s">
        <v>92</v>
      </c>
      <c r="H149" s="85">
        <v>46064</v>
      </c>
    </row>
    <row r="150" spans="1:13" ht="15.75" x14ac:dyDescent="0.25">
      <c r="A150" s="5" t="s">
        <v>211</v>
      </c>
      <c r="B150" s="4" t="s">
        <v>15</v>
      </c>
      <c r="C150" s="4" t="s">
        <v>15</v>
      </c>
      <c r="D150" s="52">
        <v>503.31</v>
      </c>
      <c r="E150" s="4" t="s">
        <v>4</v>
      </c>
      <c r="F150" s="64" t="s">
        <v>4</v>
      </c>
      <c r="G150" s="53" t="s">
        <v>92</v>
      </c>
      <c r="H150" s="85">
        <v>46064</v>
      </c>
    </row>
    <row r="151" spans="1:13" ht="15.75" x14ac:dyDescent="0.25">
      <c r="A151" s="5" t="s">
        <v>512</v>
      </c>
      <c r="B151" s="4" t="s">
        <v>15</v>
      </c>
      <c r="C151" s="4" t="s">
        <v>15</v>
      </c>
      <c r="D151" s="33">
        <v>150</v>
      </c>
      <c r="E151" s="4" t="s">
        <v>4</v>
      </c>
      <c r="F151" s="64" t="s">
        <v>4</v>
      </c>
      <c r="G151" s="53" t="s">
        <v>92</v>
      </c>
      <c r="H151" s="85">
        <v>46064</v>
      </c>
    </row>
    <row r="152" spans="1:13" ht="15.75" x14ac:dyDescent="0.25">
      <c r="A152" s="5" t="s">
        <v>513</v>
      </c>
      <c r="B152" s="4" t="s">
        <v>15</v>
      </c>
      <c r="C152" s="4" t="s">
        <v>15</v>
      </c>
      <c r="D152" s="43">
        <v>2650</v>
      </c>
      <c r="E152" s="4" t="s">
        <v>4</v>
      </c>
      <c r="F152" s="64" t="s">
        <v>4</v>
      </c>
      <c r="G152" s="53" t="s">
        <v>92</v>
      </c>
      <c r="H152" s="85">
        <v>46064</v>
      </c>
    </row>
    <row r="153" spans="1:13" ht="15.75" x14ac:dyDescent="0.25">
      <c r="A153" s="5" t="s">
        <v>518</v>
      </c>
      <c r="B153" s="4" t="s">
        <v>15</v>
      </c>
      <c r="C153" s="4" t="s">
        <v>15</v>
      </c>
      <c r="D153" s="42">
        <v>-1437.5</v>
      </c>
      <c r="E153" s="4" t="s">
        <v>4</v>
      </c>
      <c r="F153" s="64" t="s">
        <v>4</v>
      </c>
      <c r="G153" s="53" t="s">
        <v>92</v>
      </c>
      <c r="H153" s="85">
        <v>46064</v>
      </c>
    </row>
    <row r="154" spans="1:13" ht="15.75" x14ac:dyDescent="0.25">
      <c r="A154" s="5" t="s">
        <v>31</v>
      </c>
      <c r="B154" s="4" t="s">
        <v>148</v>
      </c>
      <c r="C154" s="4" t="s">
        <v>38</v>
      </c>
      <c r="D154" s="12">
        <v>710.18</v>
      </c>
      <c r="E154" s="4" t="s">
        <v>4</v>
      </c>
      <c r="F154" s="64" t="s">
        <v>4</v>
      </c>
      <c r="G154" s="53" t="s">
        <v>101</v>
      </c>
      <c r="H154" s="85">
        <v>46064</v>
      </c>
    </row>
    <row r="155" spans="1:13" ht="15.75" x14ac:dyDescent="0.25">
      <c r="A155" s="5" t="s">
        <v>385</v>
      </c>
      <c r="B155" s="4" t="s">
        <v>148</v>
      </c>
      <c r="C155" s="4" t="s">
        <v>38</v>
      </c>
      <c r="D155" s="12">
        <v>70</v>
      </c>
      <c r="E155" s="4" t="s">
        <v>4</v>
      </c>
      <c r="F155" s="64" t="s">
        <v>4</v>
      </c>
      <c r="G155" s="84"/>
      <c r="H155" s="85">
        <v>46064</v>
      </c>
    </row>
    <row r="156" spans="1:13" ht="15.75" x14ac:dyDescent="0.25">
      <c r="A156" s="5" t="s">
        <v>503</v>
      </c>
      <c r="B156" s="4" t="s">
        <v>136</v>
      </c>
      <c r="C156" s="4" t="s">
        <v>39</v>
      </c>
      <c r="D156" s="12">
        <v>996.43</v>
      </c>
      <c r="E156" s="4" t="s">
        <v>4</v>
      </c>
      <c r="F156" s="64" t="s">
        <v>4</v>
      </c>
      <c r="G156" s="23"/>
      <c r="H156" s="85">
        <v>46064</v>
      </c>
    </row>
    <row r="157" spans="1:13" ht="15.75" x14ac:dyDescent="0.25">
      <c r="A157" s="5" t="s">
        <v>502</v>
      </c>
      <c r="B157" s="4" t="s">
        <v>152</v>
      </c>
      <c r="C157" s="4" t="s">
        <v>38</v>
      </c>
      <c r="D157" s="12">
        <v>76</v>
      </c>
      <c r="E157" s="4" t="s">
        <v>4</v>
      </c>
      <c r="F157" s="64" t="s">
        <v>4</v>
      </c>
      <c r="G157" s="84"/>
      <c r="H157" s="85">
        <v>46064</v>
      </c>
    </row>
    <row r="158" spans="1:13" ht="15.75" x14ac:dyDescent="0.25">
      <c r="A158" s="5" t="s">
        <v>504</v>
      </c>
      <c r="B158" s="4" t="s">
        <v>15</v>
      </c>
      <c r="C158" s="4" t="s">
        <v>15</v>
      </c>
      <c r="D158" s="12">
        <v>103.35</v>
      </c>
      <c r="E158" s="4" t="s">
        <v>4</v>
      </c>
      <c r="F158" s="64" t="s">
        <v>4</v>
      </c>
      <c r="G158" s="23"/>
      <c r="H158" s="85">
        <v>46064</v>
      </c>
    </row>
    <row r="159" spans="1:13" ht="15.75" x14ac:dyDescent="0.25">
      <c r="A159" s="5" t="s">
        <v>505</v>
      </c>
      <c r="B159" s="4" t="s">
        <v>15</v>
      </c>
      <c r="C159" s="4" t="s">
        <v>15</v>
      </c>
      <c r="D159" s="12">
        <v>1370</v>
      </c>
      <c r="E159" s="4" t="s">
        <v>4</v>
      </c>
      <c r="F159" s="64" t="s">
        <v>4</v>
      </c>
      <c r="G159" s="23"/>
      <c r="H159" s="85">
        <v>46064</v>
      </c>
      <c r="L159" s="26"/>
      <c r="M159" s="26"/>
    </row>
    <row r="160" spans="1:13" ht="15.75" x14ac:dyDescent="0.25">
      <c r="A160" s="5" t="s">
        <v>506</v>
      </c>
      <c r="B160" s="4" t="s">
        <v>15</v>
      </c>
      <c r="C160" s="4" t="s">
        <v>15</v>
      </c>
      <c r="D160" s="12">
        <v>1370</v>
      </c>
      <c r="E160" s="4" t="s">
        <v>4</v>
      </c>
      <c r="F160" s="64" t="s">
        <v>4</v>
      </c>
      <c r="G160" s="23"/>
      <c r="H160" s="85">
        <v>46064</v>
      </c>
      <c r="M160" s="26"/>
    </row>
    <row r="161" spans="1:15" ht="15.75" x14ac:dyDescent="0.25">
      <c r="A161" s="5" t="s">
        <v>507</v>
      </c>
      <c r="B161" s="4" t="s">
        <v>15</v>
      </c>
      <c r="C161" s="4" t="s">
        <v>15</v>
      </c>
      <c r="D161" s="12">
        <v>107.33</v>
      </c>
      <c r="E161" s="4" t="s">
        <v>4</v>
      </c>
      <c r="F161" s="64" t="s">
        <v>4</v>
      </c>
      <c r="G161" s="84"/>
      <c r="H161" s="85">
        <v>46064</v>
      </c>
    </row>
    <row r="162" spans="1:15" ht="15.75" x14ac:dyDescent="0.25">
      <c r="A162" s="5" t="s">
        <v>508</v>
      </c>
      <c r="B162" s="83"/>
      <c r="C162" s="83"/>
      <c r="D162" s="81">
        <v>-4.95</v>
      </c>
      <c r="E162" s="4" t="s">
        <v>4</v>
      </c>
      <c r="F162" s="64" t="s">
        <v>4</v>
      </c>
      <c r="G162" s="84"/>
      <c r="H162" s="85">
        <v>46064</v>
      </c>
    </row>
    <row r="163" spans="1:15" ht="15.75" x14ac:dyDescent="0.25">
      <c r="A163" s="5" t="s">
        <v>509</v>
      </c>
      <c r="B163" s="4" t="s">
        <v>148</v>
      </c>
      <c r="C163" s="4" t="s">
        <v>38</v>
      </c>
      <c r="D163" s="12">
        <v>50</v>
      </c>
      <c r="E163" s="4" t="s">
        <v>4</v>
      </c>
      <c r="F163" s="64" t="s">
        <v>4</v>
      </c>
      <c r="G163" s="84"/>
      <c r="H163" s="85">
        <v>46064</v>
      </c>
    </row>
    <row r="164" spans="1:15" ht="15.75" x14ac:dyDescent="0.25">
      <c r="A164" s="5" t="s">
        <v>510</v>
      </c>
      <c r="B164" s="4" t="s">
        <v>148</v>
      </c>
      <c r="C164" s="4" t="s">
        <v>38</v>
      </c>
      <c r="D164" s="12">
        <v>92.58</v>
      </c>
      <c r="E164" s="4" t="s">
        <v>4</v>
      </c>
      <c r="F164" s="64" t="s">
        <v>4</v>
      </c>
      <c r="G164" s="84"/>
      <c r="H164" s="85">
        <v>46064</v>
      </c>
    </row>
    <row r="165" spans="1:15" ht="15.75" x14ac:dyDescent="0.25">
      <c r="A165" s="5" t="s">
        <v>516</v>
      </c>
      <c r="B165" s="4" t="s">
        <v>148</v>
      </c>
      <c r="C165" s="4" t="s">
        <v>38</v>
      </c>
      <c r="D165" s="86">
        <v>102.86</v>
      </c>
      <c r="E165" s="4" t="s">
        <v>4</v>
      </c>
      <c r="F165" s="64" t="s">
        <v>4</v>
      </c>
      <c r="G165" s="84"/>
      <c r="H165" s="85">
        <v>46064</v>
      </c>
    </row>
    <row r="166" spans="1:15" ht="15.75" x14ac:dyDescent="0.25">
      <c r="A166" s="5" t="s">
        <v>515</v>
      </c>
      <c r="B166" s="4" t="s">
        <v>148</v>
      </c>
      <c r="C166" s="4" t="s">
        <v>38</v>
      </c>
      <c r="D166" s="86">
        <v>102.87</v>
      </c>
      <c r="E166" s="4" t="s">
        <v>4</v>
      </c>
      <c r="F166" s="64" t="s">
        <v>4</v>
      </c>
      <c r="G166" s="84"/>
      <c r="H166" s="85">
        <v>46064</v>
      </c>
    </row>
    <row r="167" spans="1:15" ht="15.75" x14ac:dyDescent="0.25">
      <c r="A167" s="5" t="s">
        <v>517</v>
      </c>
      <c r="B167" s="4" t="s">
        <v>148</v>
      </c>
      <c r="C167" s="4" t="s">
        <v>38</v>
      </c>
      <c r="D167" s="86">
        <v>128.65</v>
      </c>
      <c r="E167" s="4" t="s">
        <v>4</v>
      </c>
      <c r="F167" s="64" t="s">
        <v>4</v>
      </c>
      <c r="G167" s="84"/>
      <c r="H167" s="85">
        <v>46064</v>
      </c>
    </row>
    <row r="168" spans="1:15" ht="15.75" x14ac:dyDescent="0.25">
      <c r="A168" s="5" t="s">
        <v>511</v>
      </c>
      <c r="B168" s="4" t="s">
        <v>148</v>
      </c>
      <c r="C168" s="4" t="s">
        <v>38</v>
      </c>
      <c r="D168" s="12">
        <v>300</v>
      </c>
      <c r="E168" s="4" t="s">
        <v>4</v>
      </c>
      <c r="F168" s="64" t="s">
        <v>4</v>
      </c>
      <c r="G168" s="84"/>
      <c r="H168" s="85">
        <v>46064</v>
      </c>
    </row>
    <row r="169" spans="1:15" ht="15.75" x14ac:dyDescent="0.25">
      <c r="A169" s="5" t="s">
        <v>514</v>
      </c>
      <c r="B169" s="4" t="s">
        <v>148</v>
      </c>
      <c r="C169" s="4" t="s">
        <v>38</v>
      </c>
      <c r="D169" s="12">
        <v>150</v>
      </c>
      <c r="E169" s="4" t="s">
        <v>4</v>
      </c>
      <c r="F169" s="64" t="s">
        <v>4</v>
      </c>
      <c r="G169" s="84"/>
      <c r="H169" s="85">
        <v>46064</v>
      </c>
    </row>
    <row r="170" spans="1:15" ht="15.75" x14ac:dyDescent="0.25">
      <c r="A170" s="5" t="s">
        <v>42</v>
      </c>
      <c r="B170" s="4" t="s">
        <v>148</v>
      </c>
      <c r="C170" s="4" t="s">
        <v>38</v>
      </c>
      <c r="D170" s="12">
        <v>200</v>
      </c>
      <c r="E170" s="4" t="s">
        <v>4</v>
      </c>
      <c r="F170" s="64" t="s">
        <v>4</v>
      </c>
      <c r="G170" s="84"/>
      <c r="H170" s="85">
        <v>46064</v>
      </c>
    </row>
    <row r="171" spans="1:15" ht="15.75" x14ac:dyDescent="0.25">
      <c r="A171" s="5" t="s">
        <v>132</v>
      </c>
      <c r="B171" s="4" t="s">
        <v>136</v>
      </c>
      <c r="C171" s="4" t="s">
        <v>39</v>
      </c>
      <c r="D171" s="33">
        <v>569</v>
      </c>
      <c r="E171" s="4" t="s">
        <v>4</v>
      </c>
      <c r="F171" s="64" t="s">
        <v>4</v>
      </c>
      <c r="G171" s="53" t="s">
        <v>92</v>
      </c>
      <c r="H171" s="85">
        <v>46066</v>
      </c>
    </row>
    <row r="172" spans="1:15" ht="15.75" x14ac:dyDescent="0.25">
      <c r="A172" s="5" t="s">
        <v>70</v>
      </c>
      <c r="B172" s="4" t="s">
        <v>148</v>
      </c>
      <c r="C172" s="4" t="s">
        <v>38</v>
      </c>
      <c r="D172" s="86">
        <v>12712.26</v>
      </c>
      <c r="E172" s="4" t="s">
        <v>4</v>
      </c>
      <c r="F172" s="64" t="s">
        <v>4</v>
      </c>
      <c r="G172" s="53" t="s">
        <v>101</v>
      </c>
      <c r="H172" s="85">
        <v>46066</v>
      </c>
    </row>
    <row r="173" spans="1:15" ht="15.75" x14ac:dyDescent="0.25">
      <c r="A173" s="5" t="s">
        <v>519</v>
      </c>
      <c r="B173" s="4" t="s">
        <v>148</v>
      </c>
      <c r="C173" s="4" t="s">
        <v>38</v>
      </c>
      <c r="D173" s="86">
        <v>70</v>
      </c>
      <c r="E173" s="4" t="s">
        <v>4</v>
      </c>
      <c r="F173" s="64" t="s">
        <v>4</v>
      </c>
      <c r="G173" s="84"/>
      <c r="H173" s="85">
        <v>46066</v>
      </c>
    </row>
    <row r="174" spans="1:15" ht="15.75" x14ac:dyDescent="0.25">
      <c r="A174" s="5" t="s">
        <v>520</v>
      </c>
      <c r="B174" s="4" t="s">
        <v>148</v>
      </c>
      <c r="C174" s="4" t="s">
        <v>39</v>
      </c>
      <c r="D174" s="86">
        <v>340</v>
      </c>
      <c r="E174" s="4" t="s">
        <v>4</v>
      </c>
      <c r="F174" s="64" t="s">
        <v>4</v>
      </c>
      <c r="G174" s="84"/>
      <c r="H174" s="85">
        <v>46066</v>
      </c>
      <c r="K174" s="76"/>
      <c r="L174" s="77"/>
      <c r="M174" s="76"/>
      <c r="N174" s="76"/>
      <c r="O174" s="76"/>
    </row>
    <row r="175" spans="1:15" ht="15.75" x14ac:dyDescent="0.25">
      <c r="A175" s="5" t="s">
        <v>521</v>
      </c>
      <c r="B175" s="4" t="s">
        <v>148</v>
      </c>
      <c r="C175" s="4" t="s">
        <v>39</v>
      </c>
      <c r="D175" s="86">
        <v>210</v>
      </c>
      <c r="E175" s="4" t="s">
        <v>4</v>
      </c>
      <c r="F175" s="64" t="s">
        <v>4</v>
      </c>
      <c r="G175" s="84"/>
      <c r="H175" s="85">
        <v>46066</v>
      </c>
      <c r="K175" s="76"/>
      <c r="L175" s="76"/>
      <c r="M175" s="76"/>
      <c r="N175" s="76"/>
      <c r="O175" s="76"/>
    </row>
    <row r="176" spans="1:15" ht="15.75" x14ac:dyDescent="0.25">
      <c r="A176" s="5" t="s">
        <v>522</v>
      </c>
      <c r="B176" s="4" t="s">
        <v>148</v>
      </c>
      <c r="C176" s="4" t="s">
        <v>38</v>
      </c>
      <c r="D176" s="12">
        <v>190</v>
      </c>
      <c r="E176" s="4" t="s">
        <v>4</v>
      </c>
      <c r="F176" s="64" t="s">
        <v>4</v>
      </c>
      <c r="G176" s="84"/>
      <c r="H176" s="85">
        <v>46066</v>
      </c>
      <c r="K176" s="76"/>
      <c r="L176" s="76"/>
      <c r="M176" s="76"/>
      <c r="N176" s="76"/>
      <c r="O176" s="76"/>
    </row>
    <row r="177" spans="1:15" ht="15.75" x14ac:dyDescent="0.25">
      <c r="A177" s="5" t="s">
        <v>523</v>
      </c>
      <c r="B177" s="4" t="s">
        <v>148</v>
      </c>
      <c r="C177" s="4" t="s">
        <v>38</v>
      </c>
      <c r="D177" s="12">
        <v>3167.25</v>
      </c>
      <c r="E177" s="4" t="s">
        <v>4</v>
      </c>
      <c r="F177" s="64" t="s">
        <v>4</v>
      </c>
      <c r="G177" s="84"/>
      <c r="H177" s="85">
        <v>46066</v>
      </c>
      <c r="K177" s="76"/>
      <c r="L177" s="76"/>
      <c r="M177" s="76"/>
      <c r="N177" s="76"/>
      <c r="O177" s="76"/>
    </row>
    <row r="178" spans="1:15" ht="15.75" x14ac:dyDescent="0.25">
      <c r="A178" s="5" t="s">
        <v>524</v>
      </c>
      <c r="B178" s="4" t="s">
        <v>148</v>
      </c>
      <c r="C178" s="4" t="s">
        <v>38</v>
      </c>
      <c r="D178" s="12">
        <v>250</v>
      </c>
      <c r="E178" s="4" t="s">
        <v>4</v>
      </c>
      <c r="F178" s="64" t="s">
        <v>4</v>
      </c>
      <c r="G178" s="79"/>
      <c r="H178" s="80">
        <v>46066</v>
      </c>
      <c r="K178" s="76"/>
      <c r="L178" s="76"/>
      <c r="M178" s="76"/>
      <c r="N178" s="76"/>
      <c r="O178" s="76"/>
    </row>
    <row r="179" spans="1:15" ht="15.75" x14ac:dyDescent="0.25">
      <c r="A179" s="5" t="s">
        <v>525</v>
      </c>
      <c r="B179" s="4" t="s">
        <v>15</v>
      </c>
      <c r="C179" s="4" t="s">
        <v>15</v>
      </c>
      <c r="D179" s="12">
        <v>600</v>
      </c>
      <c r="E179" s="4" t="s">
        <v>4</v>
      </c>
      <c r="F179" s="64" t="s">
        <v>4</v>
      </c>
      <c r="G179" s="84"/>
      <c r="H179" s="80">
        <v>46066</v>
      </c>
      <c r="K179" s="76"/>
      <c r="L179" s="76"/>
      <c r="M179" s="76"/>
      <c r="N179" s="76"/>
      <c r="O179" s="76"/>
    </row>
    <row r="180" spans="1:15" ht="15.75" x14ac:dyDescent="0.25">
      <c r="A180" s="5" t="s">
        <v>531</v>
      </c>
      <c r="B180" s="4" t="s">
        <v>15</v>
      </c>
      <c r="C180" s="4" t="s">
        <v>15</v>
      </c>
      <c r="D180" s="12">
        <v>900</v>
      </c>
      <c r="E180" s="4" t="s">
        <v>4</v>
      </c>
      <c r="F180" s="64" t="s">
        <v>4</v>
      </c>
      <c r="G180" s="84"/>
      <c r="H180" s="80">
        <v>46066</v>
      </c>
      <c r="K180" s="76"/>
      <c r="L180" s="76"/>
      <c r="M180" s="76"/>
      <c r="N180" s="76"/>
      <c r="O180" s="76"/>
    </row>
    <row r="181" spans="1:15" ht="15.75" x14ac:dyDescent="0.25">
      <c r="A181" s="5" t="s">
        <v>526</v>
      </c>
      <c r="B181" s="4" t="s">
        <v>15</v>
      </c>
      <c r="C181" s="4" t="s">
        <v>15</v>
      </c>
      <c r="D181" s="12">
        <v>133.33000000000001</v>
      </c>
      <c r="E181" s="4" t="s">
        <v>4</v>
      </c>
      <c r="F181" s="64" t="s">
        <v>4</v>
      </c>
      <c r="G181" s="84"/>
      <c r="H181" s="80">
        <v>46066</v>
      </c>
      <c r="K181" s="76"/>
      <c r="L181" s="76"/>
      <c r="M181" s="76"/>
      <c r="N181" s="76"/>
      <c r="O181" s="76"/>
    </row>
    <row r="182" spans="1:15" ht="15.75" x14ac:dyDescent="0.25">
      <c r="A182" s="5" t="s">
        <v>527</v>
      </c>
      <c r="B182" s="4" t="s">
        <v>15</v>
      </c>
      <c r="C182" s="4" t="s">
        <v>15</v>
      </c>
      <c r="D182" s="12">
        <v>450</v>
      </c>
      <c r="E182" s="4" t="s">
        <v>4</v>
      </c>
      <c r="F182" s="64" t="s">
        <v>4</v>
      </c>
      <c r="G182" s="84"/>
      <c r="H182" s="80">
        <v>46066</v>
      </c>
      <c r="K182" s="76"/>
      <c r="L182" s="76"/>
      <c r="M182" s="76"/>
      <c r="N182" s="76"/>
      <c r="O182" s="76"/>
    </row>
    <row r="183" spans="1:15" ht="15.75" x14ac:dyDescent="0.25">
      <c r="A183" s="5" t="s">
        <v>528</v>
      </c>
      <c r="B183" s="4" t="s">
        <v>15</v>
      </c>
      <c r="C183" s="4" t="s">
        <v>15</v>
      </c>
      <c r="D183" s="12">
        <v>450</v>
      </c>
      <c r="E183" s="4" t="s">
        <v>4</v>
      </c>
      <c r="F183" s="64" t="s">
        <v>4</v>
      </c>
      <c r="G183" s="84"/>
      <c r="H183" s="80">
        <v>46066</v>
      </c>
      <c r="K183" s="76"/>
      <c r="L183" s="76"/>
      <c r="M183" s="76"/>
      <c r="N183" s="76"/>
      <c r="O183" s="76"/>
    </row>
    <row r="184" spans="1:15" ht="15.75" x14ac:dyDescent="0.25">
      <c r="A184" s="5" t="s">
        <v>529</v>
      </c>
      <c r="B184" s="4" t="s">
        <v>15</v>
      </c>
      <c r="C184" s="4" t="s">
        <v>15</v>
      </c>
      <c r="D184" s="12">
        <v>50</v>
      </c>
      <c r="E184" s="4" t="s">
        <v>4</v>
      </c>
      <c r="F184" s="64" t="s">
        <v>4</v>
      </c>
      <c r="G184" s="84"/>
      <c r="H184" s="80">
        <v>46066</v>
      </c>
      <c r="K184" s="76"/>
      <c r="L184" s="76"/>
      <c r="M184" s="76"/>
      <c r="N184" s="76"/>
      <c r="O184" s="76"/>
    </row>
    <row r="185" spans="1:15" ht="15.75" x14ac:dyDescent="0.25">
      <c r="A185" s="5" t="s">
        <v>530</v>
      </c>
      <c r="B185" s="4" t="s">
        <v>15</v>
      </c>
      <c r="C185" s="4" t="s">
        <v>15</v>
      </c>
      <c r="D185" s="12">
        <v>150</v>
      </c>
      <c r="E185" s="4" t="s">
        <v>4</v>
      </c>
      <c r="F185" s="64" t="s">
        <v>4</v>
      </c>
      <c r="G185" s="23"/>
      <c r="H185" s="80">
        <v>46066</v>
      </c>
      <c r="K185" s="76"/>
      <c r="L185" s="76"/>
      <c r="M185" s="76"/>
      <c r="N185" s="76"/>
      <c r="O185" s="76"/>
    </row>
    <row r="186" spans="1:15" ht="15.75" x14ac:dyDescent="0.25">
      <c r="A186" s="5" t="s">
        <v>410</v>
      </c>
      <c r="B186" s="4" t="s">
        <v>148</v>
      </c>
      <c r="C186" s="4" t="s">
        <v>38</v>
      </c>
      <c r="D186" s="12">
        <v>105</v>
      </c>
      <c r="E186" s="4" t="s">
        <v>4</v>
      </c>
      <c r="F186" s="64" t="s">
        <v>4</v>
      </c>
      <c r="G186" s="84"/>
      <c r="H186" s="80">
        <v>46066</v>
      </c>
      <c r="K186" s="76"/>
      <c r="L186" s="76"/>
      <c r="M186" s="76"/>
      <c r="N186" s="76"/>
      <c r="O186" s="76"/>
    </row>
    <row r="187" spans="1:15" ht="15.75" x14ac:dyDescent="0.25">
      <c r="A187" s="5" t="s">
        <v>193</v>
      </c>
      <c r="B187" s="4" t="s">
        <v>148</v>
      </c>
      <c r="C187" s="4" t="s">
        <v>38</v>
      </c>
      <c r="D187" s="12">
        <v>130</v>
      </c>
      <c r="E187" s="4" t="s">
        <v>4</v>
      </c>
      <c r="F187" s="64" t="s">
        <v>4</v>
      </c>
      <c r="G187" s="84"/>
      <c r="H187" s="80">
        <v>46066</v>
      </c>
    </row>
    <row r="188" spans="1:15" ht="15.75" x14ac:dyDescent="0.25">
      <c r="A188" s="5" t="s">
        <v>532</v>
      </c>
      <c r="B188" s="4" t="s">
        <v>136</v>
      </c>
      <c r="C188" s="4" t="s">
        <v>39</v>
      </c>
      <c r="D188" s="12">
        <v>242.42</v>
      </c>
      <c r="E188" s="4" t="s">
        <v>4</v>
      </c>
      <c r="F188" s="64" t="s">
        <v>4</v>
      </c>
      <c r="G188" s="84"/>
      <c r="H188" s="85">
        <v>46071</v>
      </c>
    </row>
    <row r="189" spans="1:15" ht="15.75" x14ac:dyDescent="0.25">
      <c r="A189" s="5" t="s">
        <v>208</v>
      </c>
      <c r="B189" s="4" t="s">
        <v>148</v>
      </c>
      <c r="C189" s="4" t="s">
        <v>38</v>
      </c>
      <c r="D189" s="57">
        <v>500</v>
      </c>
      <c r="E189" s="4" t="s">
        <v>4</v>
      </c>
      <c r="F189" s="64" t="s">
        <v>4</v>
      </c>
      <c r="G189" s="58"/>
      <c r="H189" s="85">
        <v>46071</v>
      </c>
    </row>
    <row r="190" spans="1:15" ht="15.75" x14ac:dyDescent="0.25">
      <c r="A190" s="5" t="s">
        <v>533</v>
      </c>
      <c r="B190" s="4" t="s">
        <v>141</v>
      </c>
      <c r="C190" s="4" t="s">
        <v>39</v>
      </c>
      <c r="D190" s="13">
        <v>1622.91</v>
      </c>
      <c r="E190" s="4" t="s">
        <v>4</v>
      </c>
      <c r="F190" s="64" t="s">
        <v>4</v>
      </c>
      <c r="G190" s="53" t="s">
        <v>100</v>
      </c>
      <c r="H190" s="85">
        <v>46071</v>
      </c>
      <c r="J190" s="26"/>
    </row>
    <row r="191" spans="1:15" ht="15.75" x14ac:dyDescent="0.25">
      <c r="A191" s="5" t="s">
        <v>534</v>
      </c>
      <c r="B191" s="4" t="s">
        <v>141</v>
      </c>
      <c r="C191" s="4" t="s">
        <v>39</v>
      </c>
      <c r="D191" s="13">
        <v>861.75</v>
      </c>
      <c r="E191" s="4" t="s">
        <v>4</v>
      </c>
      <c r="F191" s="64" t="s">
        <v>4</v>
      </c>
      <c r="G191" s="53" t="s">
        <v>93</v>
      </c>
      <c r="H191" s="85">
        <v>46071</v>
      </c>
    </row>
    <row r="192" spans="1:15" ht="15.75" x14ac:dyDescent="0.25">
      <c r="A192" s="5" t="s">
        <v>535</v>
      </c>
      <c r="B192" s="4" t="s">
        <v>141</v>
      </c>
      <c r="C192" s="4" t="s">
        <v>39</v>
      </c>
      <c r="D192" s="13">
        <v>902.72</v>
      </c>
      <c r="E192" s="4" t="s">
        <v>4</v>
      </c>
      <c r="F192" s="64" t="s">
        <v>4</v>
      </c>
      <c r="G192" s="53" t="s">
        <v>97</v>
      </c>
      <c r="H192" s="85">
        <v>46071</v>
      </c>
    </row>
    <row r="193" spans="1:8" ht="15.75" x14ac:dyDescent="0.25">
      <c r="A193" s="5" t="s">
        <v>32</v>
      </c>
      <c r="B193" s="4" t="s">
        <v>133</v>
      </c>
      <c r="C193" s="4" t="s">
        <v>38</v>
      </c>
      <c r="D193" s="12">
        <v>397.52</v>
      </c>
      <c r="E193" s="4" t="s">
        <v>4</v>
      </c>
      <c r="F193" s="64" t="s">
        <v>4</v>
      </c>
      <c r="G193" s="53" t="s">
        <v>100</v>
      </c>
      <c r="H193" s="85">
        <v>46071</v>
      </c>
    </row>
    <row r="194" spans="1:8" ht="15.75" x14ac:dyDescent="0.25">
      <c r="A194" s="5" t="s">
        <v>227</v>
      </c>
      <c r="B194" s="4" t="s">
        <v>152</v>
      </c>
      <c r="C194" s="4" t="s">
        <v>38</v>
      </c>
      <c r="D194" s="41">
        <v>983.34</v>
      </c>
      <c r="E194" s="4" t="s">
        <v>4</v>
      </c>
      <c r="F194" s="64" t="s">
        <v>4</v>
      </c>
      <c r="G194" s="53" t="s">
        <v>103</v>
      </c>
      <c r="H194" s="85">
        <v>46071</v>
      </c>
    </row>
    <row r="195" spans="1:8" ht="15.75" x14ac:dyDescent="0.25">
      <c r="A195" s="5" t="s">
        <v>29</v>
      </c>
      <c r="B195" s="4" t="s">
        <v>148</v>
      </c>
      <c r="C195" s="4" t="s">
        <v>38</v>
      </c>
      <c r="D195" s="13">
        <v>147.55000000000001</v>
      </c>
      <c r="E195" s="4" t="s">
        <v>4</v>
      </c>
      <c r="F195" s="64" t="s">
        <v>4</v>
      </c>
      <c r="G195" s="53" t="s">
        <v>100</v>
      </c>
      <c r="H195" s="85">
        <v>46071</v>
      </c>
    </row>
    <row r="196" spans="1:8" ht="15.75" x14ac:dyDescent="0.25">
      <c r="A196" s="5" t="s">
        <v>161</v>
      </c>
      <c r="B196" s="4" t="s">
        <v>148</v>
      </c>
      <c r="C196" s="4" t="s">
        <v>38</v>
      </c>
      <c r="D196" s="12">
        <v>147.56</v>
      </c>
      <c r="E196" s="4" t="s">
        <v>4</v>
      </c>
      <c r="F196" s="64" t="s">
        <v>4</v>
      </c>
      <c r="G196" s="84"/>
      <c r="H196" s="85">
        <v>46071</v>
      </c>
    </row>
    <row r="197" spans="1:8" ht="15.75" x14ac:dyDescent="0.25">
      <c r="A197" s="5" t="s">
        <v>215</v>
      </c>
      <c r="B197" s="4" t="s">
        <v>152</v>
      </c>
      <c r="C197" s="4" t="s">
        <v>38</v>
      </c>
      <c r="D197" s="12">
        <v>435.82</v>
      </c>
      <c r="E197" s="4" t="s">
        <v>4</v>
      </c>
      <c r="F197" s="64" t="s">
        <v>4</v>
      </c>
      <c r="G197" s="53" t="s">
        <v>103</v>
      </c>
      <c r="H197" s="85">
        <v>46071</v>
      </c>
    </row>
    <row r="198" spans="1:8" ht="15.75" x14ac:dyDescent="0.25">
      <c r="A198" s="5" t="s">
        <v>191</v>
      </c>
      <c r="B198" s="4" t="s">
        <v>133</v>
      </c>
      <c r="C198" s="4" t="s">
        <v>38</v>
      </c>
      <c r="D198" s="46">
        <v>364.13</v>
      </c>
      <c r="E198" s="4" t="s">
        <v>4</v>
      </c>
      <c r="F198" s="64" t="s">
        <v>4</v>
      </c>
      <c r="G198" s="53" t="s">
        <v>100</v>
      </c>
      <c r="H198" s="85">
        <v>46071</v>
      </c>
    </row>
    <row r="199" spans="1:8" ht="15.75" x14ac:dyDescent="0.25">
      <c r="A199" s="5" t="s">
        <v>73</v>
      </c>
      <c r="B199" s="4" t="s">
        <v>149</v>
      </c>
      <c r="C199" s="4" t="s">
        <v>38</v>
      </c>
      <c r="D199" s="43">
        <v>229</v>
      </c>
      <c r="E199" s="4" t="s">
        <v>4</v>
      </c>
      <c r="F199" s="64" t="s">
        <v>4</v>
      </c>
      <c r="G199" s="53" t="s">
        <v>103</v>
      </c>
      <c r="H199" s="85">
        <v>46071</v>
      </c>
    </row>
    <row r="200" spans="1:8" ht="15.75" x14ac:dyDescent="0.25">
      <c r="A200" s="5" t="s">
        <v>35</v>
      </c>
      <c r="B200" s="4" t="s">
        <v>148</v>
      </c>
      <c r="C200" s="4" t="s">
        <v>38</v>
      </c>
      <c r="D200" s="87">
        <v>-129.44999999999999</v>
      </c>
      <c r="E200" s="4" t="s">
        <v>4</v>
      </c>
      <c r="F200" s="64" t="s">
        <v>4</v>
      </c>
      <c r="G200" s="84"/>
      <c r="H200" s="85">
        <v>46071</v>
      </c>
    </row>
    <row r="201" spans="1:8" ht="15.75" x14ac:dyDescent="0.25">
      <c r="A201" s="5" t="s">
        <v>35</v>
      </c>
      <c r="B201" s="4" t="s">
        <v>148</v>
      </c>
      <c r="C201" s="4" t="s">
        <v>38</v>
      </c>
      <c r="D201" s="86">
        <v>114.44</v>
      </c>
      <c r="E201" s="4" t="s">
        <v>4</v>
      </c>
      <c r="F201" s="64" t="s">
        <v>4</v>
      </c>
      <c r="G201" s="84"/>
      <c r="H201" s="85">
        <v>46071</v>
      </c>
    </row>
    <row r="202" spans="1:8" ht="15.75" x14ac:dyDescent="0.25">
      <c r="A202" s="5" t="s">
        <v>536</v>
      </c>
      <c r="B202" s="4" t="s">
        <v>148</v>
      </c>
      <c r="C202" s="4" t="s">
        <v>38</v>
      </c>
      <c r="D202" s="86">
        <v>19.46</v>
      </c>
      <c r="E202" s="4" t="s">
        <v>4</v>
      </c>
      <c r="F202" s="64" t="s">
        <v>4</v>
      </c>
      <c r="G202" s="84"/>
      <c r="H202" s="85">
        <v>46071</v>
      </c>
    </row>
    <row r="203" spans="1:8" ht="15.75" x14ac:dyDescent="0.25">
      <c r="A203" s="5" t="s">
        <v>537</v>
      </c>
      <c r="B203" s="4" t="s">
        <v>148</v>
      </c>
      <c r="C203" s="4" t="s">
        <v>38</v>
      </c>
      <c r="D203" s="86">
        <v>19.46</v>
      </c>
      <c r="E203" s="4" t="s">
        <v>4</v>
      </c>
      <c r="F203" s="64" t="s">
        <v>4</v>
      </c>
      <c r="G203" s="84"/>
      <c r="H203" s="85">
        <v>46071</v>
      </c>
    </row>
    <row r="204" spans="1:8" ht="15.75" x14ac:dyDescent="0.25">
      <c r="A204" s="5" t="s">
        <v>538</v>
      </c>
      <c r="B204" s="4" t="s">
        <v>148</v>
      </c>
      <c r="C204" s="4" t="s">
        <v>38</v>
      </c>
      <c r="D204" s="86">
        <v>19.46</v>
      </c>
      <c r="E204" s="4" t="s">
        <v>4</v>
      </c>
      <c r="F204" s="64" t="s">
        <v>4</v>
      </c>
      <c r="G204" s="84"/>
      <c r="H204" s="85">
        <v>46071</v>
      </c>
    </row>
    <row r="205" spans="1:8" ht="15.75" x14ac:dyDescent="0.25">
      <c r="A205" s="5" t="s">
        <v>539</v>
      </c>
      <c r="B205" s="4" t="s">
        <v>148</v>
      </c>
      <c r="C205" s="4" t="s">
        <v>38</v>
      </c>
      <c r="D205" s="86">
        <v>19.45</v>
      </c>
      <c r="E205" s="4" t="s">
        <v>4</v>
      </c>
      <c r="F205" s="64" t="s">
        <v>4</v>
      </c>
      <c r="G205" s="84"/>
      <c r="H205" s="85">
        <v>46071</v>
      </c>
    </row>
    <row r="206" spans="1:8" ht="15.75" x14ac:dyDescent="0.25">
      <c r="A206" s="5" t="s">
        <v>42</v>
      </c>
      <c r="B206" s="4" t="s">
        <v>148</v>
      </c>
      <c r="C206" s="4" t="s">
        <v>38</v>
      </c>
      <c r="D206" s="86">
        <v>200</v>
      </c>
      <c r="E206" s="4" t="s">
        <v>4</v>
      </c>
      <c r="F206" s="64" t="s">
        <v>4</v>
      </c>
      <c r="G206" s="84"/>
      <c r="H206" s="85">
        <v>46071</v>
      </c>
    </row>
    <row r="207" spans="1:8" ht="15.75" x14ac:dyDescent="0.25">
      <c r="A207" s="5" t="s">
        <v>343</v>
      </c>
      <c r="B207" s="4" t="s">
        <v>148</v>
      </c>
      <c r="C207" s="4" t="s">
        <v>38</v>
      </c>
      <c r="D207" s="86">
        <v>150</v>
      </c>
      <c r="E207" s="4" t="s">
        <v>4</v>
      </c>
      <c r="F207" s="64" t="s">
        <v>4</v>
      </c>
      <c r="G207" s="84"/>
      <c r="H207" s="85">
        <v>46071</v>
      </c>
    </row>
    <row r="208" spans="1:8" ht="15.75" x14ac:dyDescent="0.25">
      <c r="A208" s="5" t="s">
        <v>540</v>
      </c>
      <c r="B208" s="4" t="s">
        <v>148</v>
      </c>
      <c r="C208" s="4" t="s">
        <v>38</v>
      </c>
      <c r="D208" s="86">
        <v>120</v>
      </c>
      <c r="E208" s="4" t="s">
        <v>4</v>
      </c>
      <c r="F208" s="64" t="s">
        <v>4</v>
      </c>
      <c r="G208" s="84"/>
      <c r="H208" s="85">
        <v>46071</v>
      </c>
    </row>
    <row r="209" spans="1:8" ht="15.75" x14ac:dyDescent="0.25">
      <c r="A209" s="5" t="s">
        <v>207</v>
      </c>
      <c r="B209" s="4" t="s">
        <v>148</v>
      </c>
      <c r="C209" s="4" t="s">
        <v>38</v>
      </c>
      <c r="D209" s="86">
        <v>25</v>
      </c>
      <c r="E209" s="4" t="s">
        <v>4</v>
      </c>
      <c r="F209" s="64" t="s">
        <v>4</v>
      </c>
      <c r="G209" s="84"/>
      <c r="H209" s="85">
        <v>46071</v>
      </c>
    </row>
    <row r="210" spans="1:8" ht="15.75" x14ac:dyDescent="0.25">
      <c r="A210" s="5" t="s">
        <v>114</v>
      </c>
      <c r="B210" s="4" t="s">
        <v>148</v>
      </c>
      <c r="C210" s="4" t="s">
        <v>38</v>
      </c>
      <c r="D210" s="63">
        <v>386.32</v>
      </c>
      <c r="E210" s="4" t="s">
        <v>4</v>
      </c>
      <c r="F210" s="64" t="s">
        <v>4</v>
      </c>
      <c r="G210" s="53" t="s">
        <v>102</v>
      </c>
      <c r="H210" s="85">
        <v>46071</v>
      </c>
    </row>
    <row r="211" spans="1:8" ht="15.75" x14ac:dyDescent="0.25">
      <c r="A211" s="5" t="s">
        <v>541</v>
      </c>
      <c r="B211" s="4" t="s">
        <v>148</v>
      </c>
      <c r="C211" s="4" t="s">
        <v>38</v>
      </c>
      <c r="D211" s="86">
        <v>100</v>
      </c>
      <c r="E211" s="4" t="s">
        <v>4</v>
      </c>
      <c r="F211" s="64" t="s">
        <v>4</v>
      </c>
      <c r="G211" s="84"/>
      <c r="H211" s="85">
        <v>46071</v>
      </c>
    </row>
    <row r="212" spans="1:8" ht="15.75" x14ac:dyDescent="0.25">
      <c r="A212" s="5" t="s">
        <v>542</v>
      </c>
      <c r="B212" s="4" t="s">
        <v>136</v>
      </c>
      <c r="C212" s="4" t="s">
        <v>39</v>
      </c>
      <c r="D212" s="86">
        <v>100</v>
      </c>
      <c r="E212" s="4" t="s">
        <v>4</v>
      </c>
      <c r="F212" s="64" t="s">
        <v>4</v>
      </c>
      <c r="G212" s="84"/>
      <c r="H212" s="85">
        <v>46071</v>
      </c>
    </row>
    <row r="213" spans="1:8" ht="15.75" x14ac:dyDescent="0.25">
      <c r="A213" s="5" t="s">
        <v>204</v>
      </c>
      <c r="B213" s="4" t="s">
        <v>148</v>
      </c>
      <c r="C213" s="4" t="s">
        <v>38</v>
      </c>
      <c r="D213" s="52">
        <v>3000</v>
      </c>
      <c r="E213" s="4" t="s">
        <v>4</v>
      </c>
      <c r="F213" s="64" t="s">
        <v>4</v>
      </c>
      <c r="G213" s="53" t="s">
        <v>102</v>
      </c>
      <c r="H213" s="73">
        <v>46072</v>
      </c>
    </row>
    <row r="214" spans="1:8" ht="15.75" x14ac:dyDescent="0.25">
      <c r="A214" s="5" t="s">
        <v>310</v>
      </c>
      <c r="B214" s="4" t="s">
        <v>15</v>
      </c>
      <c r="C214" s="4" t="s">
        <v>15</v>
      </c>
      <c r="D214" s="86">
        <v>270</v>
      </c>
      <c r="E214" s="4" t="s">
        <v>4</v>
      </c>
      <c r="F214" s="64" t="s">
        <v>4</v>
      </c>
      <c r="G214" s="84"/>
      <c r="H214" s="73">
        <v>46072</v>
      </c>
    </row>
    <row r="215" spans="1:8" ht="15.75" x14ac:dyDescent="0.25">
      <c r="A215" s="5" t="s">
        <v>79</v>
      </c>
      <c r="B215" s="4" t="s">
        <v>84</v>
      </c>
      <c r="C215" s="4" t="s">
        <v>84</v>
      </c>
      <c r="D215" s="13">
        <v>3793.08</v>
      </c>
      <c r="E215" s="4" t="s">
        <v>4</v>
      </c>
      <c r="F215" s="64" t="s">
        <v>4</v>
      </c>
      <c r="G215" s="53" t="s">
        <v>96</v>
      </c>
      <c r="H215" s="73">
        <v>46072</v>
      </c>
    </row>
    <row r="216" spans="1:8" ht="15.75" x14ac:dyDescent="0.25">
      <c r="A216" s="5" t="s">
        <v>80</v>
      </c>
      <c r="B216" s="4" t="s">
        <v>84</v>
      </c>
      <c r="C216" s="4" t="s">
        <v>84</v>
      </c>
      <c r="D216" s="13">
        <v>3793.08</v>
      </c>
      <c r="E216" s="4" t="s">
        <v>4</v>
      </c>
      <c r="F216" s="64" t="s">
        <v>4</v>
      </c>
      <c r="G216" s="53" t="s">
        <v>96</v>
      </c>
      <c r="H216" s="73">
        <v>46072</v>
      </c>
    </row>
    <row r="217" spans="1:8" ht="15.75" x14ac:dyDescent="0.25">
      <c r="A217" s="5" t="s">
        <v>315</v>
      </c>
      <c r="B217" s="4" t="s">
        <v>84</v>
      </c>
      <c r="C217" s="4" t="s">
        <v>84</v>
      </c>
      <c r="D217" s="12">
        <v>8769.32</v>
      </c>
      <c r="E217" s="4" t="s">
        <v>4</v>
      </c>
      <c r="F217" s="64" t="s">
        <v>4</v>
      </c>
      <c r="G217" s="53" t="s">
        <v>96</v>
      </c>
      <c r="H217" s="73">
        <v>46072</v>
      </c>
    </row>
    <row r="218" spans="1:8" ht="15.75" x14ac:dyDescent="0.25">
      <c r="A218" s="5" t="s">
        <v>316</v>
      </c>
      <c r="B218" s="4" t="s">
        <v>84</v>
      </c>
      <c r="C218" s="4" t="s">
        <v>84</v>
      </c>
      <c r="D218" s="12">
        <v>8890.75</v>
      </c>
      <c r="E218" s="4" t="s">
        <v>4</v>
      </c>
      <c r="F218" s="64" t="s">
        <v>4</v>
      </c>
      <c r="G218" s="53" t="s">
        <v>96</v>
      </c>
      <c r="H218" s="73">
        <v>46072</v>
      </c>
    </row>
    <row r="219" spans="1:8" ht="15.75" x14ac:dyDescent="0.25">
      <c r="A219" s="5" t="s">
        <v>543</v>
      </c>
      <c r="B219" s="4" t="s">
        <v>135</v>
      </c>
      <c r="C219" s="4" t="s">
        <v>39</v>
      </c>
      <c r="D219" s="86">
        <v>30</v>
      </c>
      <c r="E219" s="4" t="s">
        <v>4</v>
      </c>
      <c r="F219" s="64" t="s">
        <v>4</v>
      </c>
      <c r="G219" s="84"/>
      <c r="H219" s="73">
        <v>46072</v>
      </c>
    </row>
    <row r="220" spans="1:8" ht="15.75" x14ac:dyDescent="0.25">
      <c r="A220" s="5" t="s">
        <v>192</v>
      </c>
      <c r="B220" s="4" t="s">
        <v>138</v>
      </c>
      <c r="C220" s="4" t="s">
        <v>39</v>
      </c>
      <c r="D220" s="12">
        <v>351.26</v>
      </c>
      <c r="E220" s="44" t="s">
        <v>4</v>
      </c>
      <c r="F220" s="64" t="s">
        <v>4</v>
      </c>
      <c r="G220" s="53" t="s">
        <v>96</v>
      </c>
      <c r="H220" s="55">
        <v>46073</v>
      </c>
    </row>
    <row r="221" spans="1:8" ht="15.75" x14ac:dyDescent="0.25">
      <c r="A221" s="5" t="s">
        <v>43</v>
      </c>
      <c r="B221" s="4" t="s">
        <v>148</v>
      </c>
      <c r="C221" s="4" t="s">
        <v>38</v>
      </c>
      <c r="D221" s="86">
        <v>85.83</v>
      </c>
      <c r="E221" s="44" t="s">
        <v>4</v>
      </c>
      <c r="F221" s="64" t="s">
        <v>4</v>
      </c>
      <c r="G221" s="53" t="s">
        <v>546</v>
      </c>
      <c r="H221" s="55">
        <v>46073</v>
      </c>
    </row>
    <row r="222" spans="1:8" ht="15" customHeight="1" x14ac:dyDescent="0.25">
      <c r="A222" s="5" t="s">
        <v>86</v>
      </c>
      <c r="B222" s="4" t="s">
        <v>148</v>
      </c>
      <c r="C222" s="4" t="s">
        <v>38</v>
      </c>
      <c r="D222" s="86">
        <v>130</v>
      </c>
      <c r="E222" s="44" t="s">
        <v>4</v>
      </c>
      <c r="F222" s="64" t="s">
        <v>4</v>
      </c>
      <c r="G222" s="84"/>
      <c r="H222" s="55">
        <v>46073</v>
      </c>
    </row>
    <row r="223" spans="1:8" ht="15" customHeight="1" x14ac:dyDescent="0.25">
      <c r="A223" s="5" t="s">
        <v>547</v>
      </c>
      <c r="B223" s="4" t="s">
        <v>15</v>
      </c>
      <c r="C223" s="4" t="s">
        <v>15</v>
      </c>
      <c r="D223" s="86">
        <v>450</v>
      </c>
      <c r="E223" s="44" t="s">
        <v>4</v>
      </c>
      <c r="F223" s="64" t="s">
        <v>4</v>
      </c>
      <c r="G223" s="84"/>
      <c r="H223" s="55">
        <v>46073</v>
      </c>
    </row>
    <row r="224" spans="1:8" ht="15" customHeight="1" x14ac:dyDescent="0.25">
      <c r="A224" s="5" t="s">
        <v>548</v>
      </c>
      <c r="B224" s="4" t="s">
        <v>15</v>
      </c>
      <c r="C224" s="4" t="s">
        <v>15</v>
      </c>
      <c r="D224" s="86">
        <v>300</v>
      </c>
      <c r="E224" s="44" t="s">
        <v>4</v>
      </c>
      <c r="F224" s="64" t="s">
        <v>4</v>
      </c>
      <c r="G224" s="84"/>
      <c r="H224" s="55">
        <v>46073</v>
      </c>
    </row>
    <row r="225" spans="1:13" ht="15" customHeight="1" x14ac:dyDescent="0.25">
      <c r="A225" s="5" t="s">
        <v>553</v>
      </c>
      <c r="B225" s="4" t="s">
        <v>15</v>
      </c>
      <c r="C225" s="4" t="s">
        <v>15</v>
      </c>
      <c r="D225" s="86">
        <v>150</v>
      </c>
      <c r="E225" s="44" t="s">
        <v>4</v>
      </c>
      <c r="F225" s="64" t="s">
        <v>4</v>
      </c>
      <c r="G225" s="84"/>
      <c r="H225" s="55">
        <v>46073</v>
      </c>
    </row>
    <row r="226" spans="1:13" ht="15" customHeight="1" x14ac:dyDescent="0.25">
      <c r="A226" s="5" t="s">
        <v>549</v>
      </c>
      <c r="B226" s="4" t="s">
        <v>15</v>
      </c>
      <c r="C226" s="4" t="s">
        <v>15</v>
      </c>
      <c r="D226" s="86">
        <v>150</v>
      </c>
      <c r="E226" s="44" t="s">
        <v>4</v>
      </c>
      <c r="F226" s="64" t="s">
        <v>4</v>
      </c>
      <c r="G226" s="84"/>
      <c r="H226" s="55">
        <v>46073</v>
      </c>
    </row>
    <row r="227" spans="1:13" ht="15" customHeight="1" x14ac:dyDescent="0.25">
      <c r="A227" s="5" t="s">
        <v>529</v>
      </c>
      <c r="B227" s="4" t="s">
        <v>15</v>
      </c>
      <c r="C227" s="4" t="s">
        <v>15</v>
      </c>
      <c r="D227" s="86">
        <v>50</v>
      </c>
      <c r="E227" s="44" t="s">
        <v>4</v>
      </c>
      <c r="F227" s="64" t="s">
        <v>4</v>
      </c>
      <c r="G227" s="84"/>
      <c r="H227" s="55">
        <v>46073</v>
      </c>
    </row>
    <row r="228" spans="1:13" ht="15" customHeight="1" x14ac:dyDescent="0.25">
      <c r="A228" s="5" t="s">
        <v>550</v>
      </c>
      <c r="B228" s="4" t="s">
        <v>15</v>
      </c>
      <c r="C228" s="4" t="s">
        <v>15</v>
      </c>
      <c r="D228" s="86">
        <v>200</v>
      </c>
      <c r="E228" s="44" t="s">
        <v>4</v>
      </c>
      <c r="F228" s="64" t="s">
        <v>4</v>
      </c>
      <c r="G228" s="84"/>
      <c r="H228" s="55">
        <v>46073</v>
      </c>
    </row>
    <row r="229" spans="1:13" ht="15" customHeight="1" x14ac:dyDescent="0.25">
      <c r="A229" s="5" t="s">
        <v>551</v>
      </c>
      <c r="B229" s="4" t="s">
        <v>15</v>
      </c>
      <c r="C229" s="4" t="s">
        <v>15</v>
      </c>
      <c r="D229" s="86">
        <v>150</v>
      </c>
      <c r="E229" s="44" t="s">
        <v>4</v>
      </c>
      <c r="F229" s="64" t="s">
        <v>4</v>
      </c>
      <c r="G229" s="84"/>
      <c r="H229" s="55">
        <v>46073</v>
      </c>
    </row>
    <row r="230" spans="1:13" ht="15" customHeight="1" x14ac:dyDescent="0.25">
      <c r="A230" s="5" t="s">
        <v>552</v>
      </c>
      <c r="B230" s="4" t="s">
        <v>15</v>
      </c>
      <c r="C230" s="4" t="s">
        <v>15</v>
      </c>
      <c r="D230" s="86">
        <v>150</v>
      </c>
      <c r="E230" s="44" t="s">
        <v>4</v>
      </c>
      <c r="F230" s="64" t="s">
        <v>4</v>
      </c>
      <c r="G230" s="84"/>
      <c r="H230" s="55">
        <v>46073</v>
      </c>
    </row>
    <row r="231" spans="1:13" ht="15" customHeight="1" x14ac:dyDescent="0.25">
      <c r="A231" s="5" t="s">
        <v>82</v>
      </c>
      <c r="B231" s="4" t="s">
        <v>148</v>
      </c>
      <c r="C231" s="4" t="s">
        <v>38</v>
      </c>
      <c r="D231" s="13">
        <v>46.25</v>
      </c>
      <c r="E231" s="44" t="s">
        <v>4</v>
      </c>
      <c r="F231" s="64" t="s">
        <v>4</v>
      </c>
      <c r="G231" s="53" t="s">
        <v>90</v>
      </c>
      <c r="H231" s="55">
        <v>46077</v>
      </c>
    </row>
    <row r="232" spans="1:13" ht="15" customHeight="1" x14ac:dyDescent="0.25">
      <c r="A232" s="5" t="s">
        <v>556</v>
      </c>
      <c r="B232" s="4" t="s">
        <v>148</v>
      </c>
      <c r="C232" s="4" t="s">
        <v>38</v>
      </c>
      <c r="D232" s="12">
        <v>104.87</v>
      </c>
      <c r="E232" s="44" t="s">
        <v>4</v>
      </c>
      <c r="F232" s="64" t="s">
        <v>4</v>
      </c>
      <c r="G232" s="68"/>
      <c r="H232" s="55">
        <v>46077</v>
      </c>
    </row>
    <row r="233" spans="1:13" ht="15" customHeight="1" x14ac:dyDescent="0.25">
      <c r="A233" s="5" t="s">
        <v>557</v>
      </c>
      <c r="B233" s="4" t="s">
        <v>148</v>
      </c>
      <c r="C233" s="4" t="s">
        <v>38</v>
      </c>
      <c r="D233" s="12">
        <v>104.87</v>
      </c>
      <c r="E233" s="44" t="s">
        <v>4</v>
      </c>
      <c r="F233" s="64" t="s">
        <v>4</v>
      </c>
      <c r="G233" s="68"/>
      <c r="H233" s="55">
        <v>46077</v>
      </c>
    </row>
    <row r="234" spans="1:13" ht="15" customHeight="1" x14ac:dyDescent="0.25">
      <c r="A234" s="5" t="s">
        <v>558</v>
      </c>
      <c r="B234" s="4" t="s">
        <v>148</v>
      </c>
      <c r="C234" s="4" t="s">
        <v>38</v>
      </c>
      <c r="D234" s="12">
        <v>104.87</v>
      </c>
      <c r="E234" s="44" t="s">
        <v>4</v>
      </c>
      <c r="F234" s="64" t="s">
        <v>4</v>
      </c>
      <c r="G234" s="68"/>
      <c r="H234" s="55">
        <v>46077</v>
      </c>
    </row>
    <row r="235" spans="1:13" ht="15" customHeight="1" x14ac:dyDescent="0.25">
      <c r="A235" s="5" t="s">
        <v>559</v>
      </c>
      <c r="B235" s="4" t="s">
        <v>148</v>
      </c>
      <c r="C235" s="4" t="s">
        <v>38</v>
      </c>
      <c r="D235" s="12">
        <v>104.87</v>
      </c>
      <c r="E235" s="44" t="s">
        <v>4</v>
      </c>
      <c r="F235" s="64" t="s">
        <v>4</v>
      </c>
      <c r="G235" s="68"/>
      <c r="H235" s="55">
        <v>46077</v>
      </c>
    </row>
    <row r="236" spans="1:13" ht="15" customHeight="1" x14ac:dyDescent="0.25">
      <c r="A236" s="5" t="s">
        <v>560</v>
      </c>
      <c r="B236" s="4" t="s">
        <v>148</v>
      </c>
      <c r="C236" s="4" t="s">
        <v>38</v>
      </c>
      <c r="D236" s="88">
        <v>400.34</v>
      </c>
      <c r="E236" s="44" t="s">
        <v>4</v>
      </c>
      <c r="F236" s="64" t="s">
        <v>4</v>
      </c>
      <c r="G236" s="89"/>
      <c r="H236" s="55">
        <v>46077</v>
      </c>
    </row>
    <row r="237" spans="1:13" ht="15" customHeight="1" x14ac:dyDescent="0.25">
      <c r="A237" s="5" t="s">
        <v>560</v>
      </c>
      <c r="B237" s="4" t="s">
        <v>148</v>
      </c>
      <c r="C237" s="4" t="s">
        <v>38</v>
      </c>
      <c r="D237" s="90">
        <v>-392.37</v>
      </c>
      <c r="E237" s="44" t="s">
        <v>4</v>
      </c>
      <c r="F237" s="64" t="s">
        <v>4</v>
      </c>
      <c r="G237" s="53" t="s">
        <v>118</v>
      </c>
      <c r="H237" s="55">
        <v>46077</v>
      </c>
    </row>
    <row r="238" spans="1:13" ht="15.75" x14ac:dyDescent="0.25">
      <c r="A238" s="5" t="s">
        <v>181</v>
      </c>
      <c r="B238" s="4" t="s">
        <v>136</v>
      </c>
      <c r="C238" s="4" t="s">
        <v>39</v>
      </c>
      <c r="D238" s="86">
        <v>160</v>
      </c>
      <c r="E238" s="44" t="s">
        <v>4</v>
      </c>
      <c r="F238" s="64" t="s">
        <v>4</v>
      </c>
      <c r="G238" s="84"/>
      <c r="H238" s="55">
        <v>46077</v>
      </c>
      <c r="M238" s="26"/>
    </row>
    <row r="239" spans="1:13" ht="15.75" x14ac:dyDescent="0.25">
      <c r="A239" s="5" t="s">
        <v>540</v>
      </c>
      <c r="B239" s="4" t="s">
        <v>148</v>
      </c>
      <c r="C239" s="4" t="s">
        <v>38</v>
      </c>
      <c r="D239" s="86">
        <v>120</v>
      </c>
      <c r="E239" s="44" t="s">
        <v>4</v>
      </c>
      <c r="F239" s="64" t="s">
        <v>4</v>
      </c>
      <c r="G239" s="84"/>
      <c r="H239" s="55">
        <v>46077</v>
      </c>
    </row>
    <row r="240" spans="1:13" ht="15.75" x14ac:dyDescent="0.25">
      <c r="A240" s="5" t="s">
        <v>561</v>
      </c>
      <c r="B240" s="4" t="s">
        <v>148</v>
      </c>
      <c r="C240" s="4" t="s">
        <v>38</v>
      </c>
      <c r="D240" s="86">
        <v>80</v>
      </c>
      <c r="E240" s="44" t="s">
        <v>4</v>
      </c>
      <c r="F240" s="64" t="s">
        <v>4</v>
      </c>
      <c r="G240" s="84"/>
      <c r="H240" s="55">
        <v>46077</v>
      </c>
      <c r="M240" s="26"/>
    </row>
    <row r="241" spans="1:13" ht="15.75" x14ac:dyDescent="0.25">
      <c r="A241" s="5" t="s">
        <v>562</v>
      </c>
      <c r="B241" s="4" t="s">
        <v>148</v>
      </c>
      <c r="C241" s="4" t="s">
        <v>38</v>
      </c>
      <c r="D241" s="86">
        <v>100</v>
      </c>
      <c r="E241" s="44" t="s">
        <v>4</v>
      </c>
      <c r="F241" s="64" t="s">
        <v>4</v>
      </c>
      <c r="G241" s="84"/>
      <c r="H241" s="55">
        <v>46077</v>
      </c>
      <c r="M241" s="26"/>
    </row>
    <row r="242" spans="1:13" ht="15.75" x14ac:dyDescent="0.25">
      <c r="A242" s="5" t="s">
        <v>563</v>
      </c>
      <c r="B242" s="4" t="s">
        <v>148</v>
      </c>
      <c r="C242" s="4" t="s">
        <v>38</v>
      </c>
      <c r="D242" s="86">
        <v>8</v>
      </c>
      <c r="E242" s="44" t="s">
        <v>4</v>
      </c>
      <c r="F242" s="64" t="s">
        <v>4</v>
      </c>
      <c r="G242" s="84"/>
      <c r="H242" s="55">
        <v>46077</v>
      </c>
    </row>
    <row r="243" spans="1:13" ht="15.75" x14ac:dyDescent="0.25">
      <c r="A243" s="5" t="s">
        <v>564</v>
      </c>
      <c r="B243" s="4" t="s">
        <v>148</v>
      </c>
      <c r="C243" s="4" t="s">
        <v>39</v>
      </c>
      <c r="D243" s="86">
        <v>54.8</v>
      </c>
      <c r="E243" s="44" t="s">
        <v>4</v>
      </c>
      <c r="F243" s="64" t="s">
        <v>4</v>
      </c>
      <c r="G243" s="84"/>
      <c r="H243" s="55">
        <v>46077</v>
      </c>
    </row>
    <row r="244" spans="1:13" ht="15.75" x14ac:dyDescent="0.25">
      <c r="A244" s="5" t="s">
        <v>36</v>
      </c>
      <c r="B244" s="4" t="s">
        <v>134</v>
      </c>
      <c r="C244" s="4" t="s">
        <v>38</v>
      </c>
      <c r="D244" s="46">
        <v>122.61</v>
      </c>
      <c r="E244" s="44" t="s">
        <v>4</v>
      </c>
      <c r="F244" s="64" t="s">
        <v>4</v>
      </c>
      <c r="G244" s="53" t="s">
        <v>102</v>
      </c>
      <c r="H244" s="55">
        <v>46077</v>
      </c>
    </row>
    <row r="245" spans="1:13" ht="15.75" x14ac:dyDescent="0.25">
      <c r="A245" s="5" t="s">
        <v>565</v>
      </c>
      <c r="B245" s="4" t="s">
        <v>15</v>
      </c>
      <c r="C245" s="4" t="s">
        <v>15</v>
      </c>
      <c r="D245" s="86">
        <v>250</v>
      </c>
      <c r="E245" s="44" t="s">
        <v>4</v>
      </c>
      <c r="F245" s="64" t="s">
        <v>4</v>
      </c>
      <c r="G245" s="84"/>
      <c r="H245" s="55">
        <v>46077</v>
      </c>
    </row>
    <row r="246" spans="1:13" ht="15.75" x14ac:dyDescent="0.25">
      <c r="A246" s="5" t="s">
        <v>566</v>
      </c>
      <c r="B246" s="4" t="s">
        <v>15</v>
      </c>
      <c r="C246" s="4" t="s">
        <v>15</v>
      </c>
      <c r="D246" s="13">
        <v>270</v>
      </c>
      <c r="E246" s="44" t="s">
        <v>4</v>
      </c>
      <c r="F246" s="64" t="s">
        <v>4</v>
      </c>
      <c r="G246" s="89"/>
      <c r="H246" s="55">
        <v>46077</v>
      </c>
    </row>
    <row r="247" spans="1:13" ht="15.75" x14ac:dyDescent="0.25">
      <c r="A247" s="5" t="s">
        <v>567</v>
      </c>
      <c r="B247" s="4" t="s">
        <v>15</v>
      </c>
      <c r="C247" s="4" t="s">
        <v>15</v>
      </c>
      <c r="D247" s="13">
        <v>683.33</v>
      </c>
      <c r="E247" s="44" t="s">
        <v>4</v>
      </c>
      <c r="F247" s="64" t="s">
        <v>4</v>
      </c>
      <c r="G247" s="89"/>
      <c r="H247" s="55">
        <v>46077</v>
      </c>
    </row>
    <row r="248" spans="1:13" ht="15.75" x14ac:dyDescent="0.25">
      <c r="A248" s="5" t="s">
        <v>569</v>
      </c>
      <c r="B248" s="4" t="s">
        <v>15</v>
      </c>
      <c r="C248" s="4" t="s">
        <v>15</v>
      </c>
      <c r="D248" s="13">
        <v>1400</v>
      </c>
      <c r="E248" s="44" t="s">
        <v>4</v>
      </c>
      <c r="F248" s="64" t="s">
        <v>4</v>
      </c>
      <c r="G248" s="89"/>
      <c r="H248" s="55">
        <v>46077</v>
      </c>
    </row>
    <row r="249" spans="1:13" ht="15.75" x14ac:dyDescent="0.25">
      <c r="A249" s="5" t="s">
        <v>568</v>
      </c>
      <c r="B249" s="4" t="s">
        <v>15</v>
      </c>
      <c r="C249" s="4" t="s">
        <v>15</v>
      </c>
      <c r="D249" s="13">
        <v>116.67</v>
      </c>
      <c r="E249" s="44" t="s">
        <v>4</v>
      </c>
      <c r="F249" s="64" t="s">
        <v>4</v>
      </c>
      <c r="G249" s="84"/>
      <c r="H249" s="55">
        <v>46077</v>
      </c>
    </row>
    <row r="250" spans="1:13" ht="15.75" x14ac:dyDescent="0.25">
      <c r="A250" s="5" t="s">
        <v>572</v>
      </c>
      <c r="B250" s="4" t="s">
        <v>148</v>
      </c>
      <c r="C250" s="4" t="s">
        <v>38</v>
      </c>
      <c r="D250" s="12">
        <v>93.8</v>
      </c>
      <c r="E250" s="44" t="s">
        <v>4</v>
      </c>
      <c r="F250" s="64" t="s">
        <v>4</v>
      </c>
      <c r="G250" s="23"/>
      <c r="H250" s="55">
        <v>46077</v>
      </c>
    </row>
    <row r="251" spans="1:13" ht="15.75" x14ac:dyDescent="0.25">
      <c r="A251" s="5" t="s">
        <v>42</v>
      </c>
      <c r="B251" s="4" t="s">
        <v>148</v>
      </c>
      <c r="C251" s="4" t="s">
        <v>38</v>
      </c>
      <c r="D251" s="12">
        <v>200</v>
      </c>
      <c r="E251" s="4" t="s">
        <v>4</v>
      </c>
      <c r="F251" s="64" t="s">
        <v>4</v>
      </c>
      <c r="G251" s="23"/>
      <c r="H251" s="11">
        <v>46078</v>
      </c>
    </row>
    <row r="252" spans="1:13" ht="15.75" x14ac:dyDescent="0.25">
      <c r="A252" s="5" t="s">
        <v>573</v>
      </c>
      <c r="B252" s="4" t="s">
        <v>148</v>
      </c>
      <c r="C252" s="4" t="s">
        <v>38</v>
      </c>
      <c r="D252" s="13">
        <v>80</v>
      </c>
      <c r="E252" s="4" t="s">
        <v>4</v>
      </c>
      <c r="F252" s="64" t="s">
        <v>4</v>
      </c>
      <c r="G252" s="53"/>
      <c r="H252" s="11">
        <v>46078</v>
      </c>
    </row>
    <row r="253" spans="1:13" ht="15.75" x14ac:dyDescent="0.25">
      <c r="A253" s="5" t="s">
        <v>577</v>
      </c>
      <c r="B253" s="44" t="s">
        <v>148</v>
      </c>
      <c r="C253" s="44" t="s">
        <v>38</v>
      </c>
      <c r="D253" s="12">
        <v>314.8</v>
      </c>
      <c r="E253" s="4" t="s">
        <v>4</v>
      </c>
      <c r="F253" s="64" t="s">
        <v>4</v>
      </c>
      <c r="G253" s="68"/>
      <c r="H253" s="55">
        <v>46079</v>
      </c>
    </row>
    <row r="254" spans="1:13" ht="15.75" x14ac:dyDescent="0.25">
      <c r="A254" s="5" t="s">
        <v>576</v>
      </c>
      <c r="B254" s="44" t="s">
        <v>148</v>
      </c>
      <c r="C254" s="44" t="s">
        <v>38</v>
      </c>
      <c r="D254" s="13">
        <v>70</v>
      </c>
      <c r="E254" s="4" t="s">
        <v>4</v>
      </c>
      <c r="F254" s="64" t="s">
        <v>4</v>
      </c>
      <c r="G254" s="53"/>
      <c r="H254" s="11">
        <v>46080</v>
      </c>
    </row>
    <row r="255" spans="1:13" ht="15.75" x14ac:dyDescent="0.25">
      <c r="A255" s="5" t="s">
        <v>580</v>
      </c>
      <c r="B255" s="44" t="s">
        <v>15</v>
      </c>
      <c r="C255" s="44" t="s">
        <v>15</v>
      </c>
      <c r="D255" s="12">
        <v>2366.81</v>
      </c>
      <c r="E255" s="4" t="s">
        <v>4</v>
      </c>
      <c r="F255" s="64" t="s">
        <v>4</v>
      </c>
      <c r="G255" s="68"/>
      <c r="H255" s="11">
        <v>46080</v>
      </c>
      <c r="L255" s="31"/>
    </row>
    <row r="256" spans="1:13" ht="15.75" x14ac:dyDescent="0.25">
      <c r="A256" s="5" t="s">
        <v>578</v>
      </c>
      <c r="B256" s="4" t="s">
        <v>15</v>
      </c>
      <c r="C256" s="4" t="s">
        <v>15</v>
      </c>
      <c r="D256" s="86">
        <v>3935.19</v>
      </c>
      <c r="E256" s="4" t="s">
        <v>4</v>
      </c>
      <c r="F256" s="64" t="s">
        <v>4</v>
      </c>
      <c r="G256" s="84"/>
      <c r="H256" s="11">
        <v>46080</v>
      </c>
      <c r="L256" s="32"/>
    </row>
    <row r="257" spans="1:11" ht="15.75" x14ac:dyDescent="0.25">
      <c r="A257" s="5" t="s">
        <v>579</v>
      </c>
      <c r="B257" s="4" t="s">
        <v>15</v>
      </c>
      <c r="C257" s="4" t="s">
        <v>15</v>
      </c>
      <c r="D257" s="86">
        <v>768.76</v>
      </c>
      <c r="E257" s="4" t="s">
        <v>4</v>
      </c>
      <c r="F257" s="64" t="s">
        <v>4</v>
      </c>
      <c r="G257" s="84"/>
      <c r="H257" s="11">
        <v>46080</v>
      </c>
    </row>
    <row r="258" spans="1:11" ht="15.75" x14ac:dyDescent="0.25">
      <c r="A258" s="5" t="s">
        <v>193</v>
      </c>
      <c r="B258" s="4" t="s">
        <v>148</v>
      </c>
      <c r="C258" s="4" t="s">
        <v>38</v>
      </c>
      <c r="D258" s="86">
        <v>130</v>
      </c>
      <c r="E258" s="4" t="s">
        <v>4</v>
      </c>
      <c r="F258" s="64" t="s">
        <v>4</v>
      </c>
      <c r="G258" s="84"/>
      <c r="H258" s="11">
        <v>46080</v>
      </c>
    </row>
    <row r="259" spans="1:11" ht="15.75" x14ac:dyDescent="0.25">
      <c r="A259" s="5" t="s">
        <v>583</v>
      </c>
      <c r="B259" s="4" t="s">
        <v>135</v>
      </c>
      <c r="C259" s="4" t="s">
        <v>39</v>
      </c>
      <c r="D259" s="13">
        <v>890</v>
      </c>
      <c r="E259" s="4" t="s">
        <v>4</v>
      </c>
      <c r="F259" s="64" t="s">
        <v>4</v>
      </c>
      <c r="G259" s="89"/>
      <c r="H259" s="11">
        <v>46080</v>
      </c>
    </row>
    <row r="260" spans="1:11" ht="15.75" x14ac:dyDescent="0.25">
      <c r="A260" s="5" t="s">
        <v>584</v>
      </c>
      <c r="B260" s="4" t="s">
        <v>148</v>
      </c>
      <c r="C260" s="4" t="s">
        <v>38</v>
      </c>
      <c r="D260" s="13">
        <v>0.49</v>
      </c>
      <c r="E260" s="4" t="s">
        <v>4</v>
      </c>
      <c r="F260" s="64" t="s">
        <v>4</v>
      </c>
      <c r="G260" s="89"/>
      <c r="H260" s="11">
        <v>46080</v>
      </c>
    </row>
    <row r="261" spans="1:11" ht="15.75" x14ac:dyDescent="0.25">
      <c r="A261" s="5" t="s">
        <v>410</v>
      </c>
      <c r="B261" s="4" t="s">
        <v>148</v>
      </c>
      <c r="C261" s="4" t="s">
        <v>38</v>
      </c>
      <c r="D261" s="13">
        <v>105</v>
      </c>
      <c r="E261" s="4" t="s">
        <v>4</v>
      </c>
      <c r="F261" s="64" t="s">
        <v>4</v>
      </c>
      <c r="G261" s="89"/>
      <c r="H261" s="11">
        <v>46080</v>
      </c>
    </row>
    <row r="262" spans="1:11" ht="15.75" x14ac:dyDescent="0.25">
      <c r="A262" s="5" t="s">
        <v>610</v>
      </c>
      <c r="B262" s="4" t="s">
        <v>148</v>
      </c>
      <c r="C262" s="4" t="s">
        <v>38</v>
      </c>
      <c r="D262" s="88">
        <v>210</v>
      </c>
      <c r="E262" s="4" t="s">
        <v>4</v>
      </c>
      <c r="F262" s="64" t="s">
        <v>4</v>
      </c>
      <c r="G262" s="89"/>
      <c r="H262" s="11">
        <v>46080</v>
      </c>
    </row>
    <row r="263" spans="1:11" ht="15.75" x14ac:dyDescent="0.25">
      <c r="A263" s="5" t="s">
        <v>585</v>
      </c>
      <c r="B263" s="4" t="s">
        <v>15</v>
      </c>
      <c r="C263" s="4" t="s">
        <v>15</v>
      </c>
      <c r="D263" s="13">
        <v>550</v>
      </c>
      <c r="E263" s="4" t="s">
        <v>4</v>
      </c>
      <c r="F263" s="64" t="s">
        <v>4</v>
      </c>
      <c r="G263" s="89"/>
      <c r="H263" s="11">
        <v>46080</v>
      </c>
    </row>
    <row r="264" spans="1:11" ht="15.75" x14ac:dyDescent="0.25">
      <c r="A264" s="5" t="s">
        <v>586</v>
      </c>
      <c r="B264" s="4" t="s">
        <v>15</v>
      </c>
      <c r="C264" s="4" t="s">
        <v>15</v>
      </c>
      <c r="D264" s="13">
        <v>250</v>
      </c>
      <c r="E264" s="4" t="s">
        <v>4</v>
      </c>
      <c r="F264" s="64" t="s">
        <v>4</v>
      </c>
      <c r="G264" s="89"/>
      <c r="H264" s="11">
        <v>46080</v>
      </c>
    </row>
    <row r="265" spans="1:11" ht="15.75" x14ac:dyDescent="0.25">
      <c r="A265" s="5" t="s">
        <v>587</v>
      </c>
      <c r="B265" s="4" t="s">
        <v>15</v>
      </c>
      <c r="C265" s="4" t="s">
        <v>15</v>
      </c>
      <c r="D265" s="13">
        <v>50</v>
      </c>
      <c r="E265" s="4" t="s">
        <v>4</v>
      </c>
      <c r="F265" s="64" t="s">
        <v>4</v>
      </c>
      <c r="G265" s="89"/>
      <c r="H265" s="11">
        <v>46080</v>
      </c>
    </row>
    <row r="266" spans="1:11" ht="15.75" x14ac:dyDescent="0.25">
      <c r="A266" s="5" t="s">
        <v>590</v>
      </c>
      <c r="B266" s="4" t="s">
        <v>15</v>
      </c>
      <c r="C266" s="4" t="s">
        <v>15</v>
      </c>
      <c r="D266" s="13">
        <v>150</v>
      </c>
      <c r="E266" s="4" t="s">
        <v>4</v>
      </c>
      <c r="F266" s="64" t="s">
        <v>4</v>
      </c>
      <c r="G266" s="89"/>
      <c r="H266" s="11">
        <v>46080</v>
      </c>
    </row>
    <row r="267" spans="1:11" ht="15.75" x14ac:dyDescent="0.25">
      <c r="A267" s="5" t="s">
        <v>588</v>
      </c>
      <c r="B267" s="4" t="s">
        <v>15</v>
      </c>
      <c r="C267" s="4" t="s">
        <v>15</v>
      </c>
      <c r="D267" s="13">
        <v>250</v>
      </c>
      <c r="E267" s="4" t="s">
        <v>4</v>
      </c>
      <c r="F267" s="64" t="s">
        <v>4</v>
      </c>
      <c r="G267" s="89"/>
      <c r="H267" s="11">
        <v>46080</v>
      </c>
    </row>
    <row r="268" spans="1:11" ht="15.75" x14ac:dyDescent="0.25">
      <c r="A268" s="5" t="s">
        <v>589</v>
      </c>
      <c r="B268" s="4" t="s">
        <v>15</v>
      </c>
      <c r="C268" s="4" t="s">
        <v>15</v>
      </c>
      <c r="D268" s="12">
        <v>250</v>
      </c>
      <c r="E268" s="4" t="s">
        <v>4</v>
      </c>
      <c r="F268" s="64" t="s">
        <v>4</v>
      </c>
      <c r="G268" s="89"/>
      <c r="H268" s="11">
        <v>46080</v>
      </c>
    </row>
    <row r="269" spans="1:11" ht="15.75" x14ac:dyDescent="0.25">
      <c r="A269" s="5" t="s">
        <v>591</v>
      </c>
      <c r="B269" s="4" t="s">
        <v>15</v>
      </c>
      <c r="C269" s="4" t="s">
        <v>15</v>
      </c>
      <c r="D269" s="13">
        <v>150</v>
      </c>
      <c r="E269" s="4" t="s">
        <v>4</v>
      </c>
      <c r="F269" s="64" t="s">
        <v>4</v>
      </c>
      <c r="G269" s="89"/>
      <c r="H269" s="11">
        <v>46080</v>
      </c>
      <c r="K269" s="26"/>
    </row>
    <row r="270" spans="1:11" ht="15.75" x14ac:dyDescent="0.25">
      <c r="A270" s="5" t="s">
        <v>396</v>
      </c>
      <c r="B270" s="4" t="s">
        <v>15</v>
      </c>
      <c r="C270" s="4" t="s">
        <v>15</v>
      </c>
      <c r="D270" s="12">
        <v>101.5</v>
      </c>
      <c r="E270" s="4" t="s">
        <v>4</v>
      </c>
      <c r="F270" s="64" t="s">
        <v>4</v>
      </c>
      <c r="G270" s="23"/>
      <c r="H270" s="11">
        <v>46080</v>
      </c>
    </row>
    <row r="271" spans="1:11" ht="15.75" x14ac:dyDescent="0.25">
      <c r="A271" s="5" t="s">
        <v>397</v>
      </c>
      <c r="B271" s="4" t="s">
        <v>15</v>
      </c>
      <c r="C271" s="4" t="s">
        <v>15</v>
      </c>
      <c r="D271" s="12">
        <v>101.5</v>
      </c>
      <c r="E271" s="4" t="s">
        <v>4</v>
      </c>
      <c r="F271" s="64" t="s">
        <v>4</v>
      </c>
      <c r="G271" s="23"/>
      <c r="H271" s="11">
        <v>46080</v>
      </c>
    </row>
    <row r="272" spans="1:11" ht="15.75" x14ac:dyDescent="0.25">
      <c r="A272" s="5" t="s">
        <v>593</v>
      </c>
      <c r="B272" s="4" t="s">
        <v>15</v>
      </c>
      <c r="C272" s="4" t="s">
        <v>15</v>
      </c>
      <c r="D272" s="12">
        <v>75</v>
      </c>
      <c r="E272" s="4" t="s">
        <v>4</v>
      </c>
      <c r="F272" s="64" t="s">
        <v>4</v>
      </c>
      <c r="G272" s="23"/>
      <c r="H272" s="11">
        <v>46080</v>
      </c>
    </row>
    <row r="273" spans="1:8" ht="15.75" x14ac:dyDescent="0.25">
      <c r="A273" s="5" t="s">
        <v>594</v>
      </c>
      <c r="B273" s="4" t="s">
        <v>15</v>
      </c>
      <c r="C273" s="4" t="s">
        <v>15</v>
      </c>
      <c r="D273" s="12">
        <v>75</v>
      </c>
      <c r="E273" s="4" t="s">
        <v>4</v>
      </c>
      <c r="F273" s="64" t="s">
        <v>4</v>
      </c>
      <c r="G273" s="23"/>
      <c r="H273" s="11">
        <v>46080</v>
      </c>
    </row>
    <row r="274" spans="1:8" ht="15.75" x14ac:dyDescent="0.25">
      <c r="A274" s="5" t="s">
        <v>592</v>
      </c>
      <c r="B274" s="4" t="s">
        <v>15</v>
      </c>
      <c r="C274" s="4" t="s">
        <v>15</v>
      </c>
      <c r="D274" s="13">
        <v>125</v>
      </c>
      <c r="E274" s="4" t="s">
        <v>4</v>
      </c>
      <c r="F274" s="64" t="s">
        <v>4</v>
      </c>
      <c r="G274" s="84"/>
      <c r="H274" s="11">
        <v>46080</v>
      </c>
    </row>
    <row r="275" spans="1:8" ht="15.75" x14ac:dyDescent="0.25">
      <c r="A275" s="5" t="s">
        <v>595</v>
      </c>
      <c r="B275" s="4" t="s">
        <v>15</v>
      </c>
      <c r="C275" s="4" t="s">
        <v>15</v>
      </c>
      <c r="D275" s="13">
        <v>125</v>
      </c>
      <c r="E275" s="4" t="s">
        <v>4</v>
      </c>
      <c r="F275" s="64" t="s">
        <v>4</v>
      </c>
      <c r="G275" s="84"/>
      <c r="H275" s="11">
        <v>46080</v>
      </c>
    </row>
    <row r="276" spans="1:8" ht="15.75" x14ac:dyDescent="0.25">
      <c r="A276" s="5" t="s">
        <v>596</v>
      </c>
      <c r="B276" s="4" t="s">
        <v>15</v>
      </c>
      <c r="C276" s="4" t="s">
        <v>15</v>
      </c>
      <c r="D276" s="13">
        <v>125</v>
      </c>
      <c r="E276" s="4" t="s">
        <v>4</v>
      </c>
      <c r="F276" s="64" t="s">
        <v>4</v>
      </c>
      <c r="G276" s="84"/>
      <c r="H276" s="11">
        <v>46080</v>
      </c>
    </row>
    <row r="277" spans="1:8" ht="15.75" x14ac:dyDescent="0.25">
      <c r="A277" s="5" t="s">
        <v>597</v>
      </c>
      <c r="B277" s="4" t="s">
        <v>15</v>
      </c>
      <c r="C277" s="4" t="s">
        <v>15</v>
      </c>
      <c r="D277" s="13">
        <v>125</v>
      </c>
      <c r="E277" s="4" t="s">
        <v>4</v>
      </c>
      <c r="F277" s="64" t="s">
        <v>4</v>
      </c>
      <c r="G277" s="89"/>
      <c r="H277" s="11">
        <v>46080</v>
      </c>
    </row>
    <row r="278" spans="1:8" ht="15.75" x14ac:dyDescent="0.25">
      <c r="A278" s="5" t="s">
        <v>598</v>
      </c>
      <c r="B278" s="4" t="s">
        <v>15</v>
      </c>
      <c r="C278" s="4" t="s">
        <v>15</v>
      </c>
      <c r="D278" s="13">
        <v>1621</v>
      </c>
      <c r="E278" s="4" t="s">
        <v>4</v>
      </c>
      <c r="F278" s="64" t="s">
        <v>4</v>
      </c>
      <c r="G278" s="89"/>
      <c r="H278" s="11">
        <v>46080</v>
      </c>
    </row>
    <row r="279" spans="1:8" ht="15.75" x14ac:dyDescent="0.25">
      <c r="A279" s="5" t="s">
        <v>398</v>
      </c>
      <c r="B279" s="4" t="s">
        <v>15</v>
      </c>
      <c r="C279" s="4" t="s">
        <v>15</v>
      </c>
      <c r="D279" s="12">
        <v>190</v>
      </c>
      <c r="E279" s="4" t="s">
        <v>4</v>
      </c>
      <c r="F279" s="64" t="s">
        <v>4</v>
      </c>
      <c r="G279" s="23"/>
      <c r="H279" s="11">
        <v>46080</v>
      </c>
    </row>
    <row r="280" spans="1:8" ht="15.75" x14ac:dyDescent="0.25">
      <c r="A280" s="5" t="s">
        <v>599</v>
      </c>
      <c r="B280" s="4" t="s">
        <v>15</v>
      </c>
      <c r="C280" s="4" t="s">
        <v>15</v>
      </c>
      <c r="D280" s="13">
        <v>450</v>
      </c>
      <c r="E280" s="4" t="s">
        <v>4</v>
      </c>
      <c r="F280" s="64" t="s">
        <v>4</v>
      </c>
      <c r="G280" s="89"/>
      <c r="H280" s="11">
        <v>46080</v>
      </c>
    </row>
    <row r="281" spans="1:8" ht="15.75" x14ac:dyDescent="0.25">
      <c r="A281" s="5" t="s">
        <v>530</v>
      </c>
      <c r="B281" s="4" t="s">
        <v>15</v>
      </c>
      <c r="C281" s="4" t="s">
        <v>15</v>
      </c>
      <c r="D281" s="13">
        <v>150</v>
      </c>
      <c r="E281" s="4" t="s">
        <v>4</v>
      </c>
      <c r="F281" s="64" t="s">
        <v>4</v>
      </c>
      <c r="G281" s="89"/>
      <c r="H281" s="11">
        <v>46080</v>
      </c>
    </row>
    <row r="282" spans="1:8" ht="15.75" x14ac:dyDescent="0.25">
      <c r="A282" s="5" t="s">
        <v>600</v>
      </c>
      <c r="B282" s="4" t="s">
        <v>15</v>
      </c>
      <c r="C282" s="4" t="s">
        <v>15</v>
      </c>
      <c r="D282" s="13">
        <v>600</v>
      </c>
      <c r="E282" s="4" t="s">
        <v>4</v>
      </c>
      <c r="F282" s="64" t="s">
        <v>4</v>
      </c>
      <c r="G282" s="89"/>
      <c r="H282" s="11">
        <v>46080</v>
      </c>
    </row>
    <row r="283" spans="1:8" ht="15.75" x14ac:dyDescent="0.25">
      <c r="A283" s="5" t="s">
        <v>601</v>
      </c>
      <c r="B283" s="4" t="s">
        <v>15</v>
      </c>
      <c r="C283" s="4" t="s">
        <v>15</v>
      </c>
      <c r="D283" s="13">
        <v>500</v>
      </c>
      <c r="E283" s="4" t="s">
        <v>4</v>
      </c>
      <c r="F283" s="64" t="s">
        <v>4</v>
      </c>
      <c r="G283" s="89"/>
      <c r="H283" s="11">
        <v>46080</v>
      </c>
    </row>
    <row r="284" spans="1:8" ht="15.75" x14ac:dyDescent="0.25">
      <c r="A284" s="5" t="s">
        <v>602</v>
      </c>
      <c r="B284" s="4" t="s">
        <v>15</v>
      </c>
      <c r="C284" s="4" t="s">
        <v>15</v>
      </c>
      <c r="D284" s="13">
        <v>500</v>
      </c>
      <c r="E284" s="4" t="s">
        <v>4</v>
      </c>
      <c r="F284" s="64" t="s">
        <v>4</v>
      </c>
      <c r="G284" s="89"/>
      <c r="H284" s="11">
        <v>46080</v>
      </c>
    </row>
    <row r="285" spans="1:8" ht="15.75" x14ac:dyDescent="0.25">
      <c r="A285" s="5" t="s">
        <v>603</v>
      </c>
      <c r="B285" s="4" t="s">
        <v>15</v>
      </c>
      <c r="C285" s="4" t="s">
        <v>15</v>
      </c>
      <c r="D285" s="13">
        <v>550</v>
      </c>
      <c r="E285" s="4" t="s">
        <v>4</v>
      </c>
      <c r="F285" s="64" t="s">
        <v>4</v>
      </c>
      <c r="G285" s="89"/>
      <c r="H285" s="11">
        <v>46080</v>
      </c>
    </row>
    <row r="286" spans="1:8" ht="15.75" x14ac:dyDescent="0.25">
      <c r="A286" s="5" t="s">
        <v>604</v>
      </c>
      <c r="B286" s="4" t="s">
        <v>15</v>
      </c>
      <c r="C286" s="4" t="s">
        <v>15</v>
      </c>
      <c r="D286" s="13">
        <v>150</v>
      </c>
      <c r="E286" s="4" t="s">
        <v>4</v>
      </c>
      <c r="F286" s="64" t="s">
        <v>4</v>
      </c>
      <c r="G286" s="89"/>
      <c r="H286" s="11">
        <v>46080</v>
      </c>
    </row>
    <row r="287" spans="1:8" ht="15.75" x14ac:dyDescent="0.25">
      <c r="A287" s="5" t="s">
        <v>605</v>
      </c>
      <c r="B287" s="4" t="s">
        <v>15</v>
      </c>
      <c r="C287" s="4" t="s">
        <v>15</v>
      </c>
      <c r="D287" s="13">
        <v>800</v>
      </c>
      <c r="E287" s="4" t="s">
        <v>4</v>
      </c>
      <c r="F287" s="64" t="s">
        <v>4</v>
      </c>
      <c r="G287" s="89"/>
      <c r="H287" s="11">
        <v>46080</v>
      </c>
    </row>
    <row r="288" spans="1:8" ht="15.75" x14ac:dyDescent="0.25">
      <c r="A288" s="5" t="s">
        <v>606</v>
      </c>
      <c r="B288" s="4" t="s">
        <v>15</v>
      </c>
      <c r="C288" s="4" t="s">
        <v>15</v>
      </c>
      <c r="D288" s="13">
        <v>500</v>
      </c>
      <c r="E288" s="4" t="s">
        <v>4</v>
      </c>
      <c r="F288" s="64" t="s">
        <v>4</v>
      </c>
      <c r="G288" s="89"/>
      <c r="H288" s="11">
        <v>46080</v>
      </c>
    </row>
    <row r="289" spans="1:15" ht="15.75" x14ac:dyDescent="0.25">
      <c r="A289" s="5" t="s">
        <v>607</v>
      </c>
      <c r="B289" s="4" t="s">
        <v>15</v>
      </c>
      <c r="C289" s="4" t="s">
        <v>15</v>
      </c>
      <c r="D289" s="13">
        <v>550</v>
      </c>
      <c r="E289" s="4" t="s">
        <v>4</v>
      </c>
      <c r="F289" s="64" t="s">
        <v>4</v>
      </c>
      <c r="G289" s="89"/>
      <c r="H289" s="11">
        <v>46080</v>
      </c>
    </row>
    <row r="290" spans="1:15" ht="15.75" x14ac:dyDescent="0.25">
      <c r="A290" s="5" t="s">
        <v>550</v>
      </c>
      <c r="B290" s="4" t="s">
        <v>15</v>
      </c>
      <c r="C290" s="4" t="s">
        <v>15</v>
      </c>
      <c r="D290" s="13">
        <v>200</v>
      </c>
      <c r="E290" s="4" t="s">
        <v>4</v>
      </c>
      <c r="F290" s="64" t="s">
        <v>4</v>
      </c>
      <c r="G290" s="89"/>
      <c r="H290" s="11">
        <v>46080</v>
      </c>
    </row>
    <row r="291" spans="1:15" ht="15.75" x14ac:dyDescent="0.25">
      <c r="A291" s="5" t="s">
        <v>608</v>
      </c>
      <c r="B291" s="4" t="s">
        <v>15</v>
      </c>
      <c r="C291" s="4" t="s">
        <v>15</v>
      </c>
      <c r="D291" s="13">
        <v>150</v>
      </c>
      <c r="E291" s="4" t="s">
        <v>4</v>
      </c>
      <c r="F291" s="64" t="s">
        <v>4</v>
      </c>
      <c r="G291" s="89"/>
      <c r="H291" s="11">
        <v>46080</v>
      </c>
    </row>
    <row r="292" spans="1:15" ht="15.75" x14ac:dyDescent="0.25">
      <c r="A292" s="5" t="s">
        <v>609</v>
      </c>
      <c r="B292" s="4" t="s">
        <v>15</v>
      </c>
      <c r="C292" s="4" t="s">
        <v>15</v>
      </c>
      <c r="D292" s="13">
        <v>450</v>
      </c>
      <c r="E292" s="4" t="s">
        <v>4</v>
      </c>
      <c r="F292" s="64" t="s">
        <v>4</v>
      </c>
      <c r="G292" s="89"/>
      <c r="H292" s="11">
        <v>46080</v>
      </c>
      <c r="O292" s="31"/>
    </row>
    <row r="293" spans="1:15" ht="15.75" x14ac:dyDescent="0.25">
      <c r="A293" s="91"/>
      <c r="B293" s="92"/>
      <c r="C293" s="92"/>
      <c r="D293" s="13"/>
      <c r="E293" s="92"/>
      <c r="F293" s="93"/>
      <c r="G293" s="89"/>
      <c r="H293" s="94"/>
    </row>
    <row r="294" spans="1:15" ht="15.75" x14ac:dyDescent="0.25">
      <c r="A294" s="91"/>
      <c r="B294" s="92"/>
      <c r="C294" s="92"/>
      <c r="D294" s="13"/>
      <c r="E294" s="92"/>
      <c r="F294" s="93"/>
      <c r="G294" s="89"/>
      <c r="H294" s="94"/>
    </row>
    <row r="295" spans="1:15" ht="15.75" x14ac:dyDescent="0.25">
      <c r="A295" s="5"/>
      <c r="B295" s="8"/>
      <c r="C295" s="8"/>
      <c r="D295" s="13"/>
      <c r="E295" s="8"/>
      <c r="F295" s="65"/>
      <c r="G295" s="24"/>
      <c r="H295" s="9"/>
    </row>
    <row r="296" spans="1:15" ht="15.75" x14ac:dyDescent="0.25">
      <c r="A296"/>
      <c r="D296" s="13"/>
      <c r="F296" s="64" t="s">
        <v>115</v>
      </c>
      <c r="G296"/>
    </row>
    <row r="297" spans="1:15" ht="15.75" x14ac:dyDescent="0.25">
      <c r="A297" s="6" t="s">
        <v>5</v>
      </c>
      <c r="B297" s="4"/>
      <c r="C297" s="4"/>
      <c r="D297" s="12">
        <f>SUBTOTAL(9,D1:D296)</f>
        <v>226349.34999999974</v>
      </c>
      <c r="E297" s="4"/>
      <c r="F297" s="64" t="s">
        <v>115</v>
      </c>
      <c r="G297" s="23"/>
      <c r="H297" s="3"/>
    </row>
    <row r="298" spans="1:15" ht="15.75" x14ac:dyDescent="0.25">
      <c r="A298" s="5" t="s">
        <v>40</v>
      </c>
      <c r="B298" s="6" t="s">
        <v>154</v>
      </c>
      <c r="C298" s="6"/>
      <c r="D298" s="16"/>
      <c r="E298" s="4"/>
      <c r="F298" s="64" t="s">
        <v>115</v>
      </c>
      <c r="G298" s="23"/>
      <c r="H298" s="3"/>
    </row>
    <row r="299" spans="1:15" x14ac:dyDescent="0.25">
      <c r="C299" s="16"/>
    </row>
    <row r="300" spans="1:15" ht="21" x14ac:dyDescent="0.35">
      <c r="A300" s="127" t="s">
        <v>160</v>
      </c>
      <c r="B300" s="127"/>
      <c r="C300" s="127"/>
      <c r="D300" s="127"/>
      <c r="E300" s="127"/>
      <c r="F300" s="127"/>
      <c r="G300" s="127"/>
      <c r="H300" s="127"/>
    </row>
    <row r="301" spans="1:15" ht="15.75" x14ac:dyDescent="0.25">
      <c r="A301" s="5" t="s">
        <v>78</v>
      </c>
      <c r="B301" s="4" t="s">
        <v>147</v>
      </c>
      <c r="C301" s="4" t="s">
        <v>121</v>
      </c>
      <c r="D301" s="17" t="s">
        <v>6</v>
      </c>
      <c r="E301" s="4" t="s">
        <v>3</v>
      </c>
      <c r="F301" s="4" t="s">
        <v>10</v>
      </c>
      <c r="G301" s="24" t="s">
        <v>13</v>
      </c>
      <c r="H301" s="9" t="s">
        <v>14</v>
      </c>
    </row>
    <row r="302" spans="1:15" ht="15.75" x14ac:dyDescent="0.25">
      <c r="A302" s="5" t="s">
        <v>12</v>
      </c>
      <c r="B302" s="4" t="s">
        <v>15</v>
      </c>
      <c r="C302" s="4" t="s">
        <v>15</v>
      </c>
      <c r="D302" s="12">
        <v>15535.85</v>
      </c>
      <c r="E302" s="4" t="s">
        <v>4</v>
      </c>
      <c r="F302" s="4" t="s">
        <v>4</v>
      </c>
      <c r="G302" s="53" t="s">
        <v>104</v>
      </c>
      <c r="H302" s="11"/>
    </row>
    <row r="303" spans="1:15" ht="15.75" x14ac:dyDescent="0.25">
      <c r="A303" s="5" t="s">
        <v>112</v>
      </c>
      <c r="B303" s="4" t="s">
        <v>148</v>
      </c>
      <c r="C303" s="4" t="s">
        <v>38</v>
      </c>
      <c r="D303" s="13">
        <v>81.400000000000006</v>
      </c>
      <c r="E303" s="4" t="s">
        <v>4</v>
      </c>
      <c r="F303" s="4" t="s">
        <v>4</v>
      </c>
      <c r="G303" s="53" t="s">
        <v>92</v>
      </c>
      <c r="H303" s="9">
        <v>46064</v>
      </c>
    </row>
    <row r="304" spans="1:15" ht="15.75" x14ac:dyDescent="0.25">
      <c r="A304" s="5" t="s">
        <v>189</v>
      </c>
      <c r="B304" s="4" t="s">
        <v>148</v>
      </c>
      <c r="C304" s="4" t="s">
        <v>38</v>
      </c>
      <c r="D304" s="13">
        <v>882.87</v>
      </c>
      <c r="E304" s="4" t="s">
        <v>4</v>
      </c>
      <c r="F304" s="4" t="s">
        <v>4</v>
      </c>
      <c r="G304" s="53" t="s">
        <v>101</v>
      </c>
      <c r="H304" s="9">
        <v>46063</v>
      </c>
    </row>
    <row r="305" spans="1:8" ht="15.75" x14ac:dyDescent="0.25">
      <c r="A305" s="5" t="s">
        <v>230</v>
      </c>
      <c r="B305" s="4" t="s">
        <v>84</v>
      </c>
      <c r="C305" s="4" t="s">
        <v>84</v>
      </c>
      <c r="D305" s="12">
        <v>11204.53</v>
      </c>
      <c r="E305" s="4" t="s">
        <v>4</v>
      </c>
      <c r="F305" s="4" t="s">
        <v>4</v>
      </c>
      <c r="G305" s="53" t="s">
        <v>96</v>
      </c>
      <c r="H305" s="9">
        <v>46072</v>
      </c>
    </row>
    <row r="306" spans="1:8" ht="15.75" x14ac:dyDescent="0.25">
      <c r="A306" s="5" t="s">
        <v>229</v>
      </c>
      <c r="B306" s="4" t="s">
        <v>84</v>
      </c>
      <c r="C306" s="4" t="s">
        <v>84</v>
      </c>
      <c r="D306" s="38">
        <v>10527.57</v>
      </c>
      <c r="E306" s="4" t="s">
        <v>4</v>
      </c>
      <c r="F306" s="4" t="s">
        <v>4</v>
      </c>
      <c r="G306" s="53" t="s">
        <v>96</v>
      </c>
      <c r="H306" s="9">
        <v>46072</v>
      </c>
    </row>
    <row r="307" spans="1:8" ht="15.75" x14ac:dyDescent="0.25">
      <c r="A307" s="5" t="s">
        <v>81</v>
      </c>
      <c r="B307" s="4" t="s">
        <v>84</v>
      </c>
      <c r="C307" s="4" t="s">
        <v>84</v>
      </c>
      <c r="D307" s="56">
        <v>27030.2</v>
      </c>
      <c r="E307" s="4" t="s">
        <v>4</v>
      </c>
      <c r="F307" s="4" t="s">
        <v>4</v>
      </c>
      <c r="G307" s="53" t="s">
        <v>144</v>
      </c>
      <c r="H307" s="9">
        <v>46072</v>
      </c>
    </row>
    <row r="308" spans="1:8" ht="15.75" x14ac:dyDescent="0.25">
      <c r="A308" s="5" t="s">
        <v>27</v>
      </c>
      <c r="B308" s="4" t="s">
        <v>148</v>
      </c>
      <c r="C308" s="4" t="s">
        <v>38</v>
      </c>
      <c r="D308" s="12">
        <v>44.27</v>
      </c>
      <c r="E308" s="4" t="s">
        <v>4</v>
      </c>
      <c r="F308" s="4" t="s">
        <v>4</v>
      </c>
      <c r="G308" s="53" t="s">
        <v>98</v>
      </c>
      <c r="H308" s="9">
        <v>46077</v>
      </c>
    </row>
    <row r="309" spans="1:8" ht="15.75" x14ac:dyDescent="0.25">
      <c r="A309" s="5" t="s">
        <v>554</v>
      </c>
      <c r="B309" s="4" t="s">
        <v>141</v>
      </c>
      <c r="C309" s="4" t="s">
        <v>39</v>
      </c>
      <c r="D309" s="12">
        <v>1460</v>
      </c>
      <c r="E309" s="4" t="s">
        <v>4</v>
      </c>
      <c r="F309" s="4" t="s">
        <v>4</v>
      </c>
      <c r="G309" s="53" t="s">
        <v>119</v>
      </c>
      <c r="H309" s="9">
        <v>46077</v>
      </c>
    </row>
    <row r="310" spans="1:8" ht="15.75" x14ac:dyDescent="0.25">
      <c r="A310" s="5" t="s">
        <v>555</v>
      </c>
      <c r="B310" s="4" t="s">
        <v>148</v>
      </c>
      <c r="C310" s="4" t="s">
        <v>38</v>
      </c>
      <c r="D310" s="86">
        <v>183.6</v>
      </c>
      <c r="E310" s="4" t="s">
        <v>4</v>
      </c>
      <c r="F310" s="4" t="s">
        <v>4</v>
      </c>
      <c r="G310" s="49"/>
      <c r="H310" s="9">
        <v>46077</v>
      </c>
    </row>
    <row r="311" spans="1:8" ht="15.75" x14ac:dyDescent="0.25">
      <c r="A311" s="82"/>
      <c r="B311" s="83"/>
      <c r="C311" s="83"/>
      <c r="D311" s="86"/>
      <c r="E311" s="83"/>
      <c r="F311" s="64" t="s">
        <v>115</v>
      </c>
      <c r="G311" s="84"/>
      <c r="H311" s="85"/>
    </row>
    <row r="312" spans="1:8" ht="15.75" x14ac:dyDescent="0.25">
      <c r="A312" s="51"/>
      <c r="B312" s="48"/>
      <c r="C312" s="4"/>
      <c r="D312" s="52"/>
      <c r="E312" s="48"/>
      <c r="F312" s="4" t="s">
        <v>115</v>
      </c>
      <c r="G312" s="49"/>
      <c r="H312" s="50"/>
    </row>
    <row r="313" spans="1:8" ht="15.75" x14ac:dyDescent="0.25">
      <c r="A313" s="4" t="s">
        <v>11</v>
      </c>
      <c r="B313" s="27"/>
      <c r="C313" s="4" t="s">
        <v>0</v>
      </c>
      <c r="D313" s="12">
        <f>SUBTOTAL(9,D301:D311)</f>
        <v>66950.290000000008</v>
      </c>
      <c r="E313" s="4"/>
      <c r="F313" s="4" t="s">
        <v>115</v>
      </c>
      <c r="G313" s="24"/>
      <c r="H313" s="11"/>
    </row>
    <row r="314" spans="1:8" ht="15.75" x14ac:dyDescent="0.25">
      <c r="A314" s="5" t="s">
        <v>117</v>
      </c>
      <c r="B314" s="5"/>
      <c r="C314" s="5"/>
      <c r="D314" s="16"/>
      <c r="E314" s="4"/>
      <c r="F314" s="4" t="s">
        <v>115</v>
      </c>
      <c r="G314" s="24"/>
      <c r="H314" s="11"/>
    </row>
    <row r="315" spans="1:8" ht="15.75" x14ac:dyDescent="0.25">
      <c r="A315" s="5"/>
      <c r="B315" s="5"/>
      <c r="C315" s="5"/>
      <c r="D315" s="16"/>
      <c r="E315" s="4"/>
      <c r="F315" s="4"/>
      <c r="G315" s="24"/>
      <c r="H315" s="11"/>
    </row>
    <row r="316" spans="1:8" ht="21" x14ac:dyDescent="0.35">
      <c r="A316" s="127" t="s">
        <v>155</v>
      </c>
      <c r="B316" s="127"/>
      <c r="C316" s="127"/>
      <c r="D316" s="127"/>
      <c r="E316" s="127"/>
      <c r="F316" s="127"/>
      <c r="G316" s="128"/>
    </row>
    <row r="317" spans="1:8" ht="15.75" x14ac:dyDescent="0.25">
      <c r="A317" s="5" t="s">
        <v>7</v>
      </c>
      <c r="B317" s="4" t="s">
        <v>37</v>
      </c>
      <c r="C317" s="17" t="s">
        <v>6</v>
      </c>
      <c r="D317" s="4" t="s">
        <v>3</v>
      </c>
      <c r="E317" s="4" t="s">
        <v>9</v>
      </c>
      <c r="F317" s="24" t="s">
        <v>13</v>
      </c>
      <c r="G317" s="9" t="s">
        <v>14</v>
      </c>
    </row>
    <row r="318" spans="1:8" ht="15.75" x14ac:dyDescent="0.25">
      <c r="A318" s="5" t="s">
        <v>425</v>
      </c>
      <c r="B318" s="4" t="s">
        <v>120</v>
      </c>
      <c r="C318" s="12">
        <v>21000</v>
      </c>
      <c r="D318" s="4" t="s">
        <v>4</v>
      </c>
      <c r="E318" s="4" t="s">
        <v>4</v>
      </c>
      <c r="F318" s="23"/>
      <c r="G318" s="11">
        <v>46058</v>
      </c>
    </row>
    <row r="319" spans="1:8" ht="15.75" x14ac:dyDescent="0.25">
      <c r="A319" s="5" t="s">
        <v>426</v>
      </c>
      <c r="B319" s="4" t="s">
        <v>188</v>
      </c>
      <c r="C319" s="12">
        <v>69.61</v>
      </c>
      <c r="D319" s="4" t="s">
        <v>4</v>
      </c>
      <c r="E319" s="4" t="s">
        <v>4</v>
      </c>
      <c r="F319" s="23"/>
      <c r="G319" s="11">
        <v>46058</v>
      </c>
    </row>
    <row r="320" spans="1:8" ht="15.75" x14ac:dyDescent="0.25">
      <c r="A320" s="5" t="s">
        <v>544</v>
      </c>
      <c r="B320" s="4" t="s">
        <v>120</v>
      </c>
      <c r="C320" s="12">
        <v>6500</v>
      </c>
      <c r="D320" s="4" t="s">
        <v>4</v>
      </c>
      <c r="E320" s="4" t="s">
        <v>4</v>
      </c>
      <c r="F320" s="23"/>
      <c r="G320" s="11">
        <v>46073</v>
      </c>
    </row>
    <row r="321" spans="1:7" ht="15.75" x14ac:dyDescent="0.25">
      <c r="A321" s="5" t="s">
        <v>545</v>
      </c>
      <c r="B321" s="4" t="s">
        <v>188</v>
      </c>
      <c r="C321" s="12">
        <v>60</v>
      </c>
      <c r="D321" s="4" t="s">
        <v>4</v>
      </c>
      <c r="E321" s="4" t="s">
        <v>4</v>
      </c>
      <c r="F321" s="23"/>
      <c r="G321" s="11">
        <v>46073</v>
      </c>
    </row>
    <row r="322" spans="1:7" ht="15.75" x14ac:dyDescent="0.25">
      <c r="A322" s="5" t="s">
        <v>574</v>
      </c>
      <c r="B322" s="4" t="s">
        <v>120</v>
      </c>
      <c r="C322" s="12">
        <v>20000</v>
      </c>
      <c r="D322" s="4" t="s">
        <v>4</v>
      </c>
      <c r="E322" s="4" t="s">
        <v>4</v>
      </c>
      <c r="F322" s="23"/>
      <c r="G322" s="11">
        <v>46079</v>
      </c>
    </row>
    <row r="323" spans="1:7" ht="15.75" x14ac:dyDescent="0.25">
      <c r="A323" s="5" t="s">
        <v>575</v>
      </c>
      <c r="B323" s="4" t="s">
        <v>188</v>
      </c>
      <c r="C323" s="12">
        <v>92.49</v>
      </c>
      <c r="D323" s="4" t="s">
        <v>4</v>
      </c>
      <c r="E323" s="4" t="s">
        <v>4</v>
      </c>
      <c r="F323" s="23"/>
      <c r="G323" s="11">
        <v>46079</v>
      </c>
    </row>
    <row r="324" spans="1:7" ht="15.75" x14ac:dyDescent="0.25">
      <c r="A324" s="5" t="s">
        <v>581</v>
      </c>
      <c r="B324" s="4" t="s">
        <v>120</v>
      </c>
      <c r="C324" s="12">
        <v>6000</v>
      </c>
      <c r="D324" s="4" t="s">
        <v>4</v>
      </c>
      <c r="E324" s="4" t="s">
        <v>4</v>
      </c>
      <c r="F324" s="23"/>
      <c r="G324" s="11"/>
    </row>
    <row r="325" spans="1:7" ht="15.75" x14ac:dyDescent="0.25">
      <c r="A325" s="5" t="s">
        <v>582</v>
      </c>
      <c r="B325" s="4" t="s">
        <v>188</v>
      </c>
      <c r="C325" s="12">
        <v>51.15</v>
      </c>
      <c r="D325" s="4" t="s">
        <v>4</v>
      </c>
      <c r="E325" s="4" t="s">
        <v>4</v>
      </c>
      <c r="F325" s="23"/>
      <c r="G325" s="11"/>
    </row>
    <row r="326" spans="1:7" ht="15.75" x14ac:dyDescent="0.25">
      <c r="A326" s="5" t="s">
        <v>194</v>
      </c>
      <c r="B326" s="4" t="s">
        <v>120</v>
      </c>
      <c r="C326" s="12"/>
      <c r="D326" s="4"/>
      <c r="E326" s="4"/>
      <c r="F326" s="23"/>
      <c r="G326" s="11"/>
    </row>
    <row r="327" spans="1:7" ht="15.75" x14ac:dyDescent="0.25">
      <c r="A327" s="5" t="s">
        <v>195</v>
      </c>
      <c r="B327" s="4" t="s">
        <v>188</v>
      </c>
      <c r="C327" s="12"/>
      <c r="D327" s="4"/>
      <c r="E327" s="4"/>
      <c r="F327" s="23"/>
      <c r="G327" s="11"/>
    </row>
    <row r="328" spans="1:7" ht="15.75" x14ac:dyDescent="0.25">
      <c r="A328" s="5" t="s">
        <v>194</v>
      </c>
      <c r="B328" s="4" t="s">
        <v>120</v>
      </c>
      <c r="C328" s="12"/>
      <c r="D328" s="4"/>
      <c r="E328" s="4"/>
      <c r="F328" s="23"/>
      <c r="G328" s="11"/>
    </row>
    <row r="329" spans="1:7" ht="15.75" x14ac:dyDescent="0.25">
      <c r="A329" s="5" t="s">
        <v>195</v>
      </c>
      <c r="B329" s="4" t="s">
        <v>188</v>
      </c>
      <c r="C329" s="12"/>
      <c r="D329" s="4"/>
      <c r="E329" s="4"/>
      <c r="F329" s="23"/>
      <c r="G329" s="11"/>
    </row>
    <row r="330" spans="1:7" ht="15.75" x14ac:dyDescent="0.25">
      <c r="A330" s="5" t="s">
        <v>194</v>
      </c>
      <c r="B330" s="4" t="s">
        <v>120</v>
      </c>
      <c r="C330" s="12"/>
      <c r="D330" s="4"/>
      <c r="E330" s="4"/>
      <c r="F330" s="23"/>
      <c r="G330" s="11"/>
    </row>
    <row r="331" spans="1:7" ht="15.75" x14ac:dyDescent="0.25">
      <c r="A331" s="5" t="s">
        <v>195</v>
      </c>
      <c r="B331" s="4" t="s">
        <v>188</v>
      </c>
      <c r="C331" s="12"/>
      <c r="D331" s="4"/>
      <c r="E331" s="4"/>
      <c r="F331" s="23"/>
      <c r="G331" s="11"/>
    </row>
    <row r="332" spans="1:7" ht="15.75" x14ac:dyDescent="0.25">
      <c r="A332" s="5" t="s">
        <v>194</v>
      </c>
      <c r="B332" s="4" t="s">
        <v>120</v>
      </c>
      <c r="C332" s="12"/>
      <c r="D332" s="4"/>
      <c r="E332" s="4"/>
      <c r="F332" s="23"/>
      <c r="G332" s="11"/>
    </row>
    <row r="333" spans="1:7" ht="15.75" x14ac:dyDescent="0.25">
      <c r="A333" s="5" t="s">
        <v>195</v>
      </c>
      <c r="B333" s="4" t="s">
        <v>188</v>
      </c>
      <c r="C333" s="12"/>
      <c r="D333" s="4"/>
      <c r="E333" s="4"/>
      <c r="F333" s="23"/>
      <c r="G333" s="11"/>
    </row>
    <row r="334" spans="1:7" ht="15.75" x14ac:dyDescent="0.25">
      <c r="A334" s="5" t="s">
        <v>194</v>
      </c>
      <c r="B334" s="4" t="s">
        <v>120</v>
      </c>
      <c r="C334" s="12"/>
      <c r="D334" s="4"/>
      <c r="E334" s="4"/>
      <c r="F334" s="23"/>
      <c r="G334" s="11"/>
    </row>
    <row r="335" spans="1:7" ht="15.75" x14ac:dyDescent="0.25">
      <c r="A335" s="5" t="s">
        <v>195</v>
      </c>
      <c r="B335" s="4" t="s">
        <v>188</v>
      </c>
      <c r="C335" s="12"/>
      <c r="D335" s="4"/>
      <c r="E335" s="4"/>
      <c r="F335" s="23"/>
      <c r="G335" s="11"/>
    </row>
    <row r="336" spans="1:7" ht="15.75" x14ac:dyDescent="0.25">
      <c r="A336" s="5" t="s">
        <v>194</v>
      </c>
      <c r="B336" s="4" t="s">
        <v>120</v>
      </c>
      <c r="C336" s="12"/>
      <c r="D336" s="4"/>
      <c r="E336" s="4"/>
      <c r="F336" s="23"/>
      <c r="G336" s="11"/>
    </row>
    <row r="337" spans="1:7" ht="15.75" x14ac:dyDescent="0.25">
      <c r="A337" s="5" t="s">
        <v>195</v>
      </c>
      <c r="B337" s="4" t="s">
        <v>188</v>
      </c>
      <c r="C337" s="12"/>
      <c r="D337" s="4"/>
      <c r="E337" s="4"/>
      <c r="F337" s="23"/>
      <c r="G337" s="11"/>
    </row>
    <row r="338" spans="1:7" ht="15.75" x14ac:dyDescent="0.25">
      <c r="A338" s="5" t="s">
        <v>194</v>
      </c>
      <c r="B338" s="4" t="s">
        <v>120</v>
      </c>
      <c r="C338" s="12"/>
      <c r="D338" s="4"/>
      <c r="E338" s="4"/>
      <c r="F338" s="23"/>
      <c r="G338" s="11"/>
    </row>
    <row r="339" spans="1:7" ht="15.75" x14ac:dyDescent="0.25">
      <c r="A339" s="5" t="s">
        <v>195</v>
      </c>
      <c r="B339" s="4" t="s">
        <v>188</v>
      </c>
      <c r="C339" s="60"/>
      <c r="D339" s="4"/>
      <c r="E339" s="4"/>
      <c r="F339" s="23"/>
      <c r="G339" s="11"/>
    </row>
    <row r="340" spans="1:7" ht="15.75" x14ac:dyDescent="0.25">
      <c r="A340" s="5" t="s">
        <v>194</v>
      </c>
      <c r="B340" s="4" t="s">
        <v>120</v>
      </c>
      <c r="C340" s="12"/>
      <c r="D340" s="4"/>
      <c r="E340" s="4"/>
      <c r="F340" s="23"/>
      <c r="G340" s="11"/>
    </row>
    <row r="341" spans="1:7" ht="15.75" x14ac:dyDescent="0.25">
      <c r="A341" s="5" t="s">
        <v>195</v>
      </c>
      <c r="B341" s="4" t="s">
        <v>188</v>
      </c>
      <c r="C341" s="12"/>
      <c r="D341" s="4"/>
      <c r="E341" s="4"/>
      <c r="F341" s="23"/>
      <c r="G341" s="11"/>
    </row>
    <row r="342" spans="1:7" ht="15.75" x14ac:dyDescent="0.25">
      <c r="A342" s="5" t="s">
        <v>194</v>
      </c>
      <c r="B342" s="4" t="s">
        <v>120</v>
      </c>
      <c r="C342" s="12"/>
      <c r="D342" s="4"/>
      <c r="E342" s="4"/>
      <c r="F342" s="23"/>
      <c r="G342" s="11"/>
    </row>
    <row r="343" spans="1:7" ht="15.75" x14ac:dyDescent="0.25">
      <c r="A343" s="5" t="s">
        <v>195</v>
      </c>
      <c r="B343" s="4" t="s">
        <v>188</v>
      </c>
      <c r="C343" s="12"/>
      <c r="D343" s="4"/>
      <c r="E343" s="4"/>
      <c r="F343" s="23"/>
      <c r="G343" s="11"/>
    </row>
    <row r="344" spans="1:7" ht="15.75" x14ac:dyDescent="0.25">
      <c r="A344" s="5" t="s">
        <v>194</v>
      </c>
      <c r="B344" s="4" t="s">
        <v>120</v>
      </c>
      <c r="C344" s="12"/>
      <c r="D344" s="4"/>
      <c r="E344" s="4"/>
      <c r="F344" s="23"/>
      <c r="G344" s="11"/>
    </row>
    <row r="345" spans="1:7" ht="15.75" x14ac:dyDescent="0.25">
      <c r="A345" s="5" t="s">
        <v>195</v>
      </c>
      <c r="B345" s="4" t="s">
        <v>188</v>
      </c>
      <c r="C345" s="12"/>
      <c r="D345" s="4"/>
      <c r="E345" s="4"/>
      <c r="F345" s="23"/>
      <c r="G345" s="11"/>
    </row>
    <row r="346" spans="1:7" ht="15.75" x14ac:dyDescent="0.25">
      <c r="A346" s="5" t="s">
        <v>194</v>
      </c>
      <c r="B346" s="4" t="s">
        <v>120</v>
      </c>
      <c r="C346" s="12"/>
      <c r="D346" s="4"/>
      <c r="E346" s="4"/>
      <c r="F346" s="23"/>
      <c r="G346" s="11"/>
    </row>
    <row r="347" spans="1:7" ht="15.75" x14ac:dyDescent="0.25">
      <c r="A347" s="5" t="s">
        <v>195</v>
      </c>
      <c r="B347" s="4" t="s">
        <v>188</v>
      </c>
      <c r="C347" s="12"/>
      <c r="D347" s="4"/>
      <c r="E347" s="4"/>
      <c r="F347" s="23"/>
      <c r="G347" s="11"/>
    </row>
    <row r="348" spans="1:7" ht="15.75" x14ac:dyDescent="0.25">
      <c r="A348" s="5" t="s">
        <v>194</v>
      </c>
      <c r="B348" s="4" t="s">
        <v>120</v>
      </c>
      <c r="C348" s="12"/>
      <c r="D348" s="4"/>
      <c r="E348" s="4"/>
      <c r="F348" s="23"/>
      <c r="G348" s="11"/>
    </row>
    <row r="349" spans="1:7" ht="15.75" x14ac:dyDescent="0.25">
      <c r="A349" s="5" t="s">
        <v>195</v>
      </c>
      <c r="B349" s="4" t="s">
        <v>188</v>
      </c>
      <c r="C349" s="12"/>
      <c r="D349" s="4"/>
      <c r="E349" s="4"/>
      <c r="F349" s="23"/>
      <c r="G349" s="11"/>
    </row>
    <row r="350" spans="1:7" ht="15.75" x14ac:dyDescent="0.25">
      <c r="A350" s="5" t="s">
        <v>194</v>
      </c>
      <c r="B350" s="4" t="s">
        <v>120</v>
      </c>
      <c r="C350" s="12"/>
      <c r="D350" s="4"/>
      <c r="E350" s="4"/>
      <c r="F350" s="23"/>
      <c r="G350" s="11"/>
    </row>
    <row r="351" spans="1:7" ht="15.75" x14ac:dyDescent="0.25">
      <c r="A351" s="5" t="s">
        <v>195</v>
      </c>
      <c r="B351" s="4" t="s">
        <v>188</v>
      </c>
      <c r="C351" s="12"/>
      <c r="D351" s="4"/>
      <c r="E351" s="4"/>
      <c r="F351" s="23"/>
      <c r="G351" s="11"/>
    </row>
    <row r="352" spans="1:7" ht="15.75" x14ac:dyDescent="0.25">
      <c r="A352" s="5"/>
      <c r="B352" s="4"/>
      <c r="C352" s="12"/>
      <c r="D352" s="4"/>
      <c r="E352" s="4"/>
      <c r="F352" s="29"/>
      <c r="G352" s="30"/>
    </row>
    <row r="353" spans="1:7" ht="15.75" x14ac:dyDescent="0.25">
      <c r="A353" s="6"/>
      <c r="B353" s="4"/>
      <c r="C353" s="12"/>
      <c r="D353" s="4"/>
      <c r="E353" s="4" t="s">
        <v>115</v>
      </c>
      <c r="F353" s="24"/>
      <c r="G353" s="9"/>
    </row>
    <row r="354" spans="1:7" ht="15.75" x14ac:dyDescent="0.25">
      <c r="A354" s="6" t="s">
        <v>206</v>
      </c>
      <c r="B354" s="4"/>
      <c r="C354" s="12">
        <f>SUBTOTAL(9,C318:C353)</f>
        <v>53773.25</v>
      </c>
      <c r="D354" s="4"/>
      <c r="E354" s="4" t="s">
        <v>115</v>
      </c>
      <c r="F354" s="24"/>
      <c r="G354" s="9"/>
    </row>
    <row r="355" spans="1:7" ht="15.75" x14ac:dyDescent="0.25">
      <c r="A355" s="5" t="s">
        <v>40</v>
      </c>
      <c r="B355" s="6" t="s">
        <v>295</v>
      </c>
      <c r="C355" s="16"/>
      <c r="D355" s="4"/>
      <c r="E355" s="4" t="s">
        <v>115</v>
      </c>
      <c r="F355" s="24"/>
      <c r="G355" s="9"/>
    </row>
    <row r="357" spans="1:7" ht="21" x14ac:dyDescent="0.35">
      <c r="A357" s="127" t="s">
        <v>187</v>
      </c>
      <c r="B357" s="127"/>
      <c r="C357" s="127"/>
      <c r="D357" s="127"/>
      <c r="E357" s="127"/>
      <c r="F357" s="127"/>
      <c r="G357" s="128"/>
    </row>
    <row r="358" spans="1:7" ht="15.75" x14ac:dyDescent="0.25">
      <c r="A358" s="5" t="s">
        <v>7</v>
      </c>
      <c r="B358" s="4" t="s">
        <v>37</v>
      </c>
      <c r="C358" s="17" t="s">
        <v>6</v>
      </c>
      <c r="D358" s="4" t="s">
        <v>3</v>
      </c>
      <c r="E358" s="4" t="s">
        <v>9</v>
      </c>
      <c r="F358" s="24" t="s">
        <v>13</v>
      </c>
      <c r="G358" s="9" t="s">
        <v>14</v>
      </c>
    </row>
    <row r="359" spans="1:7" ht="15.75" x14ac:dyDescent="0.25">
      <c r="A359" s="5" t="s">
        <v>470</v>
      </c>
      <c r="B359" s="4" t="s">
        <v>85</v>
      </c>
      <c r="C359" s="13">
        <v>45000</v>
      </c>
      <c r="D359" s="4" t="s">
        <v>4</v>
      </c>
      <c r="E359" s="4" t="s">
        <v>4</v>
      </c>
      <c r="F359" s="24"/>
      <c r="G359" s="9">
        <v>46059</v>
      </c>
    </row>
    <row r="360" spans="1:7" ht="15.75" x14ac:dyDescent="0.25">
      <c r="A360" s="5" t="s">
        <v>471</v>
      </c>
      <c r="B360" s="4" t="s">
        <v>8</v>
      </c>
      <c r="C360" s="13">
        <v>94.74</v>
      </c>
      <c r="D360" s="4" t="s">
        <v>4</v>
      </c>
      <c r="E360" s="4" t="s">
        <v>4</v>
      </c>
      <c r="F360" s="24"/>
      <c r="G360" s="9">
        <v>46059</v>
      </c>
    </row>
    <row r="361" spans="1:7" ht="15.75" x14ac:dyDescent="0.25">
      <c r="A361" s="5" t="s">
        <v>198</v>
      </c>
      <c r="B361" s="4" t="s">
        <v>85</v>
      </c>
      <c r="C361" s="13"/>
      <c r="D361" s="4"/>
      <c r="E361" s="4"/>
      <c r="F361" s="24"/>
      <c r="G361" s="9"/>
    </row>
    <row r="362" spans="1:7" ht="15.75" x14ac:dyDescent="0.25">
      <c r="A362" s="5" t="s">
        <v>199</v>
      </c>
      <c r="B362" s="4" t="s">
        <v>8</v>
      </c>
      <c r="C362" s="13"/>
      <c r="D362" s="4"/>
      <c r="E362" s="4"/>
      <c r="F362" s="24"/>
      <c r="G362" s="9"/>
    </row>
    <row r="363" spans="1:7" ht="15.75" x14ac:dyDescent="0.25">
      <c r="A363" s="5" t="s">
        <v>198</v>
      </c>
      <c r="B363" s="4" t="s">
        <v>85</v>
      </c>
      <c r="C363" s="13"/>
      <c r="D363" s="4"/>
      <c r="E363" s="4"/>
      <c r="F363" s="24"/>
      <c r="G363" s="9"/>
    </row>
    <row r="364" spans="1:7" ht="15.75" x14ac:dyDescent="0.25">
      <c r="A364" s="5" t="s">
        <v>199</v>
      </c>
      <c r="B364" s="4" t="s">
        <v>8</v>
      </c>
      <c r="C364" s="13"/>
      <c r="D364" s="4"/>
      <c r="E364" s="4"/>
      <c r="F364" s="24"/>
      <c r="G364" s="9"/>
    </row>
    <row r="365" spans="1:7" ht="15.75" x14ac:dyDescent="0.25">
      <c r="A365" s="5" t="s">
        <v>198</v>
      </c>
      <c r="B365" s="4" t="s">
        <v>85</v>
      </c>
      <c r="C365" s="13"/>
      <c r="D365" s="8"/>
      <c r="E365" s="4"/>
      <c r="F365" s="24"/>
      <c r="G365" s="9"/>
    </row>
    <row r="366" spans="1:7" ht="15.75" x14ac:dyDescent="0.25">
      <c r="A366" s="5" t="s">
        <v>199</v>
      </c>
      <c r="B366" s="4" t="s">
        <v>8</v>
      </c>
      <c r="C366" s="13"/>
      <c r="D366" s="8"/>
      <c r="E366" s="4"/>
      <c r="F366" s="24"/>
      <c r="G366" s="9"/>
    </row>
    <row r="367" spans="1:7" ht="15.75" x14ac:dyDescent="0.25">
      <c r="A367" s="5" t="s">
        <v>198</v>
      </c>
      <c r="B367" s="4" t="s">
        <v>85</v>
      </c>
      <c r="C367" s="13"/>
      <c r="D367" s="8"/>
      <c r="E367" s="8"/>
      <c r="F367" s="24"/>
      <c r="G367" s="9"/>
    </row>
    <row r="368" spans="1:7" ht="15.75" x14ac:dyDescent="0.25">
      <c r="A368" s="5" t="s">
        <v>199</v>
      </c>
      <c r="B368" s="4" t="s">
        <v>8</v>
      </c>
      <c r="C368" s="13"/>
      <c r="D368" s="8"/>
      <c r="E368" s="8"/>
      <c r="F368" s="24"/>
      <c r="G368" s="9"/>
    </row>
    <row r="369" spans="1:7" ht="15.75" x14ac:dyDescent="0.25">
      <c r="A369" s="5"/>
      <c r="B369" s="4"/>
      <c r="C369" s="12"/>
      <c r="D369" s="4"/>
      <c r="E369" s="4"/>
      <c r="F369" s="24"/>
      <c r="G369" s="9"/>
    </row>
    <row r="370" spans="1:7" ht="15.75" x14ac:dyDescent="0.25">
      <c r="A370" s="5"/>
      <c r="B370" s="4"/>
      <c r="C370" s="12"/>
      <c r="D370" s="4"/>
      <c r="E370" s="4"/>
      <c r="F370" s="23"/>
      <c r="G370" s="11"/>
    </row>
    <row r="371" spans="1:7" ht="15.75" x14ac:dyDescent="0.25">
      <c r="A371" s="5"/>
      <c r="B371" s="4"/>
      <c r="C371" s="12"/>
      <c r="D371" s="4"/>
      <c r="E371" s="4"/>
      <c r="F371" s="24"/>
      <c r="G371" s="9"/>
    </row>
    <row r="372" spans="1:7" ht="15.75" x14ac:dyDescent="0.25">
      <c r="A372" s="10"/>
      <c r="B372" s="8"/>
      <c r="C372" s="13"/>
      <c r="D372" s="8"/>
      <c r="E372" s="8"/>
      <c r="F372" s="24"/>
      <c r="G372" s="9"/>
    </row>
    <row r="373" spans="1:7" ht="15.75" x14ac:dyDescent="0.25">
      <c r="A373" s="5"/>
      <c r="B373" s="8"/>
      <c r="C373" s="13"/>
      <c r="D373" s="8"/>
      <c r="E373" s="8"/>
      <c r="F373" s="24"/>
      <c r="G373" s="9"/>
    </row>
    <row r="374" spans="1:7" ht="15.75" x14ac:dyDescent="0.25">
      <c r="A374" s="10"/>
      <c r="B374" s="8"/>
      <c r="C374" s="13"/>
      <c r="D374" s="8"/>
      <c r="E374" s="8"/>
      <c r="F374" s="24"/>
      <c r="G374" s="9"/>
    </row>
    <row r="375" spans="1:7" ht="15.75" x14ac:dyDescent="0.25">
      <c r="A375" s="5"/>
      <c r="B375" s="4"/>
      <c r="C375" s="15"/>
      <c r="D375" s="4"/>
      <c r="E375" s="4" t="s">
        <v>115</v>
      </c>
      <c r="F375" s="24"/>
      <c r="G375" s="9"/>
    </row>
    <row r="376" spans="1:7" ht="15.75" x14ac:dyDescent="0.25">
      <c r="A376" s="6" t="s">
        <v>206</v>
      </c>
      <c r="B376" s="4"/>
      <c r="C376" s="12">
        <f>SUBTOTAL(9,C359:C375)</f>
        <v>45094.74</v>
      </c>
      <c r="D376" s="4"/>
      <c r="E376" s="4" t="s">
        <v>115</v>
      </c>
      <c r="F376" s="24"/>
      <c r="G376" s="9"/>
    </row>
    <row r="377" spans="1:7" ht="15.75" x14ac:dyDescent="0.25">
      <c r="A377" s="5" t="s">
        <v>40</v>
      </c>
      <c r="B377" s="6" t="s">
        <v>295</v>
      </c>
      <c r="C377" s="16"/>
      <c r="D377" s="4"/>
      <c r="E377" s="4" t="s">
        <v>115</v>
      </c>
      <c r="F377" s="24"/>
      <c r="G377" s="9"/>
    </row>
    <row r="401" spans="11:12" ht="15.75" x14ac:dyDescent="0.25">
      <c r="K401" s="59"/>
    </row>
    <row r="408" spans="11:12" x14ac:dyDescent="0.25">
      <c r="K408" s="26"/>
      <c r="L408" s="26"/>
    </row>
    <row r="409" spans="11:12" x14ac:dyDescent="0.25">
      <c r="K409" s="26"/>
    </row>
    <row r="410" spans="11:12" x14ac:dyDescent="0.25">
      <c r="K410" s="26"/>
    </row>
    <row r="458" spans="13:13" x14ac:dyDescent="0.25">
      <c r="M458" s="54"/>
    </row>
    <row r="490" spans="12:12" x14ac:dyDescent="0.25">
      <c r="L490" s="47" t="s">
        <v>1</v>
      </c>
    </row>
  </sheetData>
  <mergeCells count="7">
    <mergeCell ref="A357:G357"/>
    <mergeCell ref="A1:H1"/>
    <mergeCell ref="K1:AB1"/>
    <mergeCell ref="K21:R21"/>
    <mergeCell ref="K42:T42"/>
    <mergeCell ref="A300:H300"/>
    <mergeCell ref="A316:G316"/>
  </mergeCells>
  <pageMargins left="0.511811024" right="0.511811024" top="0.78740157499999996" bottom="0.78740157499999996" header="0.31496062000000002" footer="0.31496062000000002"/>
  <pageSetup paperSize="9" scale="22" fitToHeight="0" orientation="portrait" horizontalDpi="300" verticalDpi="3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499"/>
  <sheetViews>
    <sheetView topLeftCell="A230" zoomScaleNormal="100" workbookViewId="0">
      <selection activeCell="A268" sqref="A267:A268"/>
    </sheetView>
  </sheetViews>
  <sheetFormatPr defaultRowHeight="15" x14ac:dyDescent="0.25"/>
  <cols>
    <col min="1" max="1" width="76" style="2" customWidth="1"/>
    <col min="2" max="2" width="15.7109375" customWidth="1"/>
    <col min="3" max="3" width="14.140625" customWidth="1"/>
    <col min="4" max="4" width="13.5703125" customWidth="1"/>
    <col min="5" max="5" width="10.5703125" customWidth="1"/>
    <col min="6" max="6" width="9.140625" style="25" customWidth="1"/>
    <col min="7" max="7" width="12.5703125" style="3" customWidth="1"/>
    <col min="8" max="8" width="12.28515625" customWidth="1"/>
    <col min="9" max="9" width="4.140625" customWidth="1"/>
    <col min="10" max="10" width="7.7109375" customWidth="1"/>
    <col min="11" max="11" width="19.42578125" customWidth="1"/>
    <col min="12" max="12" width="13.85546875" customWidth="1"/>
    <col min="13" max="13" width="13.7109375" customWidth="1"/>
    <col min="14" max="17" width="12.7109375" customWidth="1"/>
    <col min="18" max="18" width="14.85546875" customWidth="1"/>
    <col min="19" max="19" width="14.7109375" customWidth="1"/>
    <col min="20" max="28" width="13.7109375" customWidth="1"/>
    <col min="29" max="29" width="13.42578125" customWidth="1"/>
  </cols>
  <sheetData>
    <row r="1" spans="1:28" ht="21" x14ac:dyDescent="0.35">
      <c r="A1" s="129" t="s">
        <v>159</v>
      </c>
      <c r="B1" s="130"/>
      <c r="C1" s="130"/>
      <c r="D1" s="130"/>
      <c r="E1" s="130"/>
      <c r="F1" s="130"/>
      <c r="G1" s="130"/>
      <c r="H1" s="131"/>
      <c r="K1" s="132" t="s">
        <v>44</v>
      </c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8" ht="15.75" x14ac:dyDescent="0.25">
      <c r="A2" s="5" t="s">
        <v>7</v>
      </c>
      <c r="B2" s="4" t="s">
        <v>147</v>
      </c>
      <c r="C2" s="4" t="s">
        <v>146</v>
      </c>
      <c r="D2" s="17" t="s">
        <v>6</v>
      </c>
      <c r="E2" s="4" t="s">
        <v>3</v>
      </c>
      <c r="F2" s="4" t="s">
        <v>9</v>
      </c>
      <c r="G2" s="37" t="s">
        <v>89</v>
      </c>
      <c r="H2" s="9" t="s">
        <v>14</v>
      </c>
      <c r="K2" t="s">
        <v>45</v>
      </c>
      <c r="L2" t="s">
        <v>49</v>
      </c>
      <c r="M2" t="s">
        <v>185</v>
      </c>
      <c r="N2" t="s">
        <v>219</v>
      </c>
      <c r="O2" t="s">
        <v>50</v>
      </c>
      <c r="P2" t="s">
        <v>53</v>
      </c>
      <c r="Q2" t="s">
        <v>55</v>
      </c>
      <c r="R2" t="s">
        <v>57</v>
      </c>
      <c r="S2" t="s">
        <v>58</v>
      </c>
      <c r="T2" t="s">
        <v>2</v>
      </c>
      <c r="U2" t="s">
        <v>61</v>
      </c>
      <c r="V2" t="s">
        <v>65</v>
      </c>
      <c r="W2" t="s">
        <v>116</v>
      </c>
      <c r="X2" t="s">
        <v>218</v>
      </c>
      <c r="Y2" t="s">
        <v>66</v>
      </c>
      <c r="Z2" t="s">
        <v>0</v>
      </c>
    </row>
    <row r="3" spans="1:28" ht="15.75" x14ac:dyDescent="0.25">
      <c r="A3" s="5" t="s">
        <v>611</v>
      </c>
      <c r="B3" s="4" t="s">
        <v>149</v>
      </c>
      <c r="C3" s="4" t="s">
        <v>39</v>
      </c>
      <c r="D3" s="56">
        <v>803.59</v>
      </c>
      <c r="E3" s="4" t="s">
        <v>4</v>
      </c>
      <c r="F3" s="64" t="s">
        <v>4</v>
      </c>
      <c r="G3" s="53" t="s">
        <v>612</v>
      </c>
      <c r="H3" s="94">
        <v>46083</v>
      </c>
      <c r="K3" t="s">
        <v>46</v>
      </c>
      <c r="Q3" s="1">
        <v>730.16</v>
      </c>
      <c r="X3" s="7"/>
      <c r="Y3" s="7"/>
      <c r="Z3" s="1">
        <f>SUM(Tabela4046577694112130148166391017429[[#This Row],[LEANDRO TR]:[PAULO]])</f>
        <v>730.16</v>
      </c>
    </row>
    <row r="4" spans="1:28" ht="15.75" x14ac:dyDescent="0.25">
      <c r="A4" s="5" t="s">
        <v>16</v>
      </c>
      <c r="B4" s="4" t="s">
        <v>84</v>
      </c>
      <c r="C4" s="4" t="s">
        <v>84</v>
      </c>
      <c r="D4" s="12">
        <v>390</v>
      </c>
      <c r="E4" s="4" t="s">
        <v>4</v>
      </c>
      <c r="F4" s="64" t="s">
        <v>4</v>
      </c>
      <c r="G4" s="67" t="s">
        <v>99</v>
      </c>
      <c r="H4" s="94">
        <v>46083</v>
      </c>
      <c r="K4" t="s">
        <v>47</v>
      </c>
      <c r="M4" s="1">
        <v>767.2</v>
      </c>
      <c r="X4" s="7"/>
      <c r="Y4" s="7"/>
      <c r="Z4" s="1">
        <f>SUM(Tabela4046577694112130148166391017429[[#This Row],[LEANDRO TR]:[PAULO]])</f>
        <v>767.2</v>
      </c>
    </row>
    <row r="5" spans="1:28" ht="15.75" x14ac:dyDescent="0.25">
      <c r="A5" s="5" t="s">
        <v>17</v>
      </c>
      <c r="B5" s="4" t="s">
        <v>84</v>
      </c>
      <c r="C5" s="4" t="s">
        <v>84</v>
      </c>
      <c r="D5" s="12">
        <v>390</v>
      </c>
      <c r="E5" s="4" t="s">
        <v>4</v>
      </c>
      <c r="F5" s="64" t="s">
        <v>4</v>
      </c>
      <c r="G5" s="67" t="s">
        <v>99</v>
      </c>
      <c r="H5" s="94">
        <v>46083</v>
      </c>
      <c r="K5" t="s">
        <v>48</v>
      </c>
      <c r="M5" s="1"/>
      <c r="W5" s="1">
        <v>642.37</v>
      </c>
      <c r="X5" s="1"/>
      <c r="Y5" s="1"/>
      <c r="Z5" s="1">
        <f>SUM(Tabela4046577694112130148166391017429[[#This Row],[LEANDRO TR]:[PAULO]])</f>
        <v>642.37</v>
      </c>
    </row>
    <row r="6" spans="1:28" ht="15.75" x14ac:dyDescent="0.25">
      <c r="A6" s="5" t="s">
        <v>30</v>
      </c>
      <c r="B6" s="4" t="s">
        <v>152</v>
      </c>
      <c r="C6" s="4" t="s">
        <v>38</v>
      </c>
      <c r="D6" s="12">
        <v>66.78</v>
      </c>
      <c r="E6" s="4" t="s">
        <v>4</v>
      </c>
      <c r="F6" s="64" t="s">
        <v>4</v>
      </c>
      <c r="G6" s="53" t="s">
        <v>91</v>
      </c>
      <c r="H6" s="94">
        <v>46083</v>
      </c>
      <c r="K6" t="s">
        <v>51</v>
      </c>
      <c r="N6" s="61">
        <v>501.9</v>
      </c>
      <c r="X6" s="7"/>
      <c r="Y6" s="7"/>
      <c r="Z6" s="1">
        <f>SUM(Tabela4046577694112130148166391017429[[#This Row],[LEANDRO TR]:[PAULO]])</f>
        <v>501.9</v>
      </c>
    </row>
    <row r="7" spans="1:28" ht="15.75" x14ac:dyDescent="0.25">
      <c r="A7" s="5" t="s">
        <v>222</v>
      </c>
      <c r="B7" s="4" t="s">
        <v>133</v>
      </c>
      <c r="C7" s="4" t="s">
        <v>38</v>
      </c>
      <c r="D7" s="12">
        <v>47.75</v>
      </c>
      <c r="E7" s="4" t="s">
        <v>4</v>
      </c>
      <c r="F7" s="64" t="s">
        <v>4</v>
      </c>
      <c r="G7" s="53" t="s">
        <v>95</v>
      </c>
      <c r="H7" s="94">
        <v>46083</v>
      </c>
      <c r="K7" t="s">
        <v>52</v>
      </c>
      <c r="P7" s="61">
        <v>943.23</v>
      </c>
      <c r="X7" s="7"/>
      <c r="Y7" s="7"/>
      <c r="Z7" s="1">
        <f>SUM(Tabela4046577694112130148166391017429[[#This Row],[LEANDRO TR]:[PAULO]])</f>
        <v>943.23</v>
      </c>
      <c r="AA7" s="7"/>
    </row>
    <row r="8" spans="1:28" ht="15.75" x14ac:dyDescent="0.25">
      <c r="A8" s="5" t="s">
        <v>613</v>
      </c>
      <c r="B8" s="4" t="s">
        <v>148</v>
      </c>
      <c r="C8" s="4" t="s">
        <v>38</v>
      </c>
      <c r="D8" s="33">
        <v>384.1</v>
      </c>
      <c r="E8" s="4" t="s">
        <v>4</v>
      </c>
      <c r="F8" s="64" t="s">
        <v>4</v>
      </c>
      <c r="G8" s="89"/>
      <c r="H8" s="94">
        <v>46083</v>
      </c>
      <c r="K8" t="s">
        <v>54</v>
      </c>
      <c r="L8" s="61">
        <v>866.54</v>
      </c>
      <c r="X8" s="7"/>
      <c r="Y8" s="7"/>
      <c r="Z8" s="1">
        <f>SUM(Tabela4046577694112130148166391017429[[#This Row],[LEANDRO TR]:[PAULO]])</f>
        <v>866.54</v>
      </c>
      <c r="AA8" s="7"/>
    </row>
    <row r="9" spans="1:28" ht="15.75" x14ac:dyDescent="0.25">
      <c r="A9" s="5" t="s">
        <v>87</v>
      </c>
      <c r="B9" s="4" t="s">
        <v>148</v>
      </c>
      <c r="C9" s="4" t="s">
        <v>38</v>
      </c>
      <c r="D9" s="12">
        <v>120</v>
      </c>
      <c r="E9" s="4" t="s">
        <v>4</v>
      </c>
      <c r="F9" s="64" t="s">
        <v>4</v>
      </c>
      <c r="G9" s="23"/>
      <c r="H9" s="94">
        <v>46083</v>
      </c>
      <c r="K9" t="s">
        <v>56</v>
      </c>
      <c r="R9" s="1">
        <v>785.83</v>
      </c>
      <c r="U9" s="1"/>
      <c r="X9" s="7"/>
      <c r="Y9" s="7"/>
      <c r="Z9" s="1">
        <f>SUM(Tabela4046577694112130148166391017429[[#This Row],[LEANDRO TR]:[PAULO]])</f>
        <v>785.83</v>
      </c>
      <c r="AA9" s="7"/>
    </row>
    <row r="10" spans="1:28" ht="15.75" x14ac:dyDescent="0.25">
      <c r="A10" s="5" t="s">
        <v>83</v>
      </c>
      <c r="B10" s="4" t="s">
        <v>150</v>
      </c>
      <c r="C10" s="4" t="s">
        <v>38</v>
      </c>
      <c r="D10" s="12">
        <v>100</v>
      </c>
      <c r="E10" s="4" t="s">
        <v>4</v>
      </c>
      <c r="F10" s="64" t="s">
        <v>4</v>
      </c>
      <c r="G10" s="23"/>
      <c r="H10" s="94">
        <v>46083</v>
      </c>
      <c r="K10" t="s">
        <v>59</v>
      </c>
      <c r="S10" s="1">
        <v>603.58000000000004</v>
      </c>
      <c r="X10" s="7"/>
      <c r="Y10" s="7"/>
      <c r="Z10" s="1">
        <f>SUM(Tabela4046577694112130148166391017429[[#This Row],[LEANDRO TR]:[PAULO]])</f>
        <v>603.58000000000004</v>
      </c>
      <c r="AA10" s="7"/>
    </row>
    <row r="11" spans="1:28" ht="15.75" x14ac:dyDescent="0.25">
      <c r="A11" s="5" t="s">
        <v>614</v>
      </c>
      <c r="B11" s="4" t="s">
        <v>148</v>
      </c>
      <c r="C11" s="4" t="s">
        <v>38</v>
      </c>
      <c r="D11" s="33">
        <v>510</v>
      </c>
      <c r="E11" s="4" t="s">
        <v>4</v>
      </c>
      <c r="F11" s="64" t="s">
        <v>4</v>
      </c>
      <c r="G11" s="89"/>
      <c r="H11" s="94">
        <v>46083</v>
      </c>
      <c r="K11" t="s">
        <v>60</v>
      </c>
      <c r="T11" s="1">
        <v>882.03</v>
      </c>
      <c r="X11" s="7"/>
      <c r="Y11" s="7"/>
      <c r="Z11" s="1">
        <f>SUM(Tabela4046577694112130148166391017429[[#This Row],[LEANDRO TR]:[PAULO]])</f>
        <v>882.03</v>
      </c>
      <c r="AA11" s="7"/>
    </row>
    <row r="12" spans="1:28" ht="15.75" x14ac:dyDescent="0.25">
      <c r="A12" s="5" t="s">
        <v>615</v>
      </c>
      <c r="B12" s="4" t="s">
        <v>148</v>
      </c>
      <c r="C12" s="4" t="s">
        <v>38</v>
      </c>
      <c r="D12" s="33">
        <v>35</v>
      </c>
      <c r="E12" s="4" t="s">
        <v>4</v>
      </c>
      <c r="F12" s="64" t="s">
        <v>4</v>
      </c>
      <c r="G12" s="89"/>
      <c r="H12" s="94">
        <v>46083</v>
      </c>
      <c r="K12" t="s">
        <v>62</v>
      </c>
      <c r="X12" s="7"/>
      <c r="Y12" s="7">
        <v>754.6</v>
      </c>
      <c r="Z12" s="1">
        <f>SUM(Tabela4046577694112130148166391017429[[#This Row],[LEANDRO TR]:[PAULO]])</f>
        <v>754.6</v>
      </c>
      <c r="AA12" s="7"/>
    </row>
    <row r="13" spans="1:28" ht="15.75" x14ac:dyDescent="0.25">
      <c r="A13" s="5" t="s">
        <v>181</v>
      </c>
      <c r="B13" s="4" t="s">
        <v>136</v>
      </c>
      <c r="C13" s="4" t="s">
        <v>39</v>
      </c>
      <c r="D13" s="33">
        <v>156.66</v>
      </c>
      <c r="E13" s="4" t="s">
        <v>4</v>
      </c>
      <c r="F13" s="64" t="s">
        <v>4</v>
      </c>
      <c r="G13" s="89"/>
      <c r="H13" s="94">
        <v>46083</v>
      </c>
      <c r="K13" t="s">
        <v>63</v>
      </c>
      <c r="M13" s="1"/>
      <c r="N13" s="1"/>
      <c r="O13" s="1"/>
      <c r="R13" s="1"/>
      <c r="X13" s="7">
        <v>728.21</v>
      </c>
      <c r="Y13" s="7"/>
      <c r="Z13" s="1">
        <f>SUM(Tabela4046577694112130148166391017429[[#This Row],[LEANDRO TR]:[PAULO]])</f>
        <v>728.21</v>
      </c>
      <c r="AA13" s="7"/>
    </row>
    <row r="14" spans="1:28" ht="15.75" x14ac:dyDescent="0.25">
      <c r="A14" s="5" t="s">
        <v>408</v>
      </c>
      <c r="B14" s="4" t="s">
        <v>148</v>
      </c>
      <c r="C14" s="4" t="s">
        <v>38</v>
      </c>
      <c r="D14" s="12">
        <v>750</v>
      </c>
      <c r="E14" s="4" t="s">
        <v>4</v>
      </c>
      <c r="F14" s="64" t="s">
        <v>4</v>
      </c>
      <c r="G14" s="79"/>
      <c r="H14" s="94">
        <v>46083</v>
      </c>
      <c r="K14" t="s">
        <v>64</v>
      </c>
      <c r="V14" s="7"/>
      <c r="X14" s="7"/>
      <c r="Y14" s="7"/>
      <c r="Z14" s="1">
        <f>SUM(Tabela4046577694112130148166391017429[[#This Row],[LEANDRO TR]:[PAULO]])</f>
        <v>0</v>
      </c>
      <c r="AA14" s="7"/>
    </row>
    <row r="15" spans="1:28" ht="15.75" x14ac:dyDescent="0.25">
      <c r="A15" s="5" t="s">
        <v>409</v>
      </c>
      <c r="B15" s="78"/>
      <c r="C15" s="78"/>
      <c r="D15" s="14">
        <v>-345</v>
      </c>
      <c r="E15" s="4" t="s">
        <v>4</v>
      </c>
      <c r="F15" s="64" t="s">
        <v>4</v>
      </c>
      <c r="G15" s="79"/>
      <c r="H15" s="94">
        <v>46083</v>
      </c>
      <c r="K15" t="s">
        <v>67</v>
      </c>
      <c r="U15" s="1">
        <v>649.25</v>
      </c>
      <c r="X15" s="7"/>
      <c r="Y15" s="7"/>
      <c r="Z15" s="1">
        <f>SUM(Tabela4046577694112130148166391017429[[#This Row],[LEANDRO TR]:[PAULO]])</f>
        <v>649.25</v>
      </c>
    </row>
    <row r="16" spans="1:28" ht="15.75" x14ac:dyDescent="0.25">
      <c r="A16" s="5" t="s">
        <v>15</v>
      </c>
      <c r="B16" s="4" t="s">
        <v>15</v>
      </c>
      <c r="C16" s="4" t="s">
        <v>15</v>
      </c>
      <c r="D16" s="33">
        <v>101270.67</v>
      </c>
      <c r="E16" s="4" t="s">
        <v>4</v>
      </c>
      <c r="F16" s="64" t="s">
        <v>4</v>
      </c>
      <c r="G16" s="89"/>
      <c r="H16" s="94">
        <v>46084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ht="15.75" x14ac:dyDescent="0.25">
      <c r="A17" s="5" t="s">
        <v>15</v>
      </c>
      <c r="B17" s="4" t="s">
        <v>15</v>
      </c>
      <c r="C17" s="4" t="s">
        <v>15</v>
      </c>
      <c r="D17" s="14">
        <v>-100649.60000000001</v>
      </c>
      <c r="E17" s="4" t="s">
        <v>4</v>
      </c>
      <c r="F17" s="64" t="s">
        <v>4</v>
      </c>
      <c r="G17" s="23"/>
      <c r="H17" s="94">
        <v>46083</v>
      </c>
      <c r="K17" s="18" t="s">
        <v>0</v>
      </c>
      <c r="L17" s="19">
        <f t="shared" ref="L17:Z17" si="0">SUM(L3:L16)</f>
        <v>866.54</v>
      </c>
      <c r="M17" s="19">
        <f t="shared" si="0"/>
        <v>767.2</v>
      </c>
      <c r="N17" s="19">
        <f t="shared" si="0"/>
        <v>501.9</v>
      </c>
      <c r="O17" s="19">
        <f t="shared" si="0"/>
        <v>0</v>
      </c>
      <c r="P17" s="19">
        <f t="shared" si="0"/>
        <v>943.23</v>
      </c>
      <c r="Q17" s="19">
        <f>SUM(Q3:Q16)</f>
        <v>730.16</v>
      </c>
      <c r="R17" s="19">
        <f t="shared" si="0"/>
        <v>785.83</v>
      </c>
      <c r="S17" s="19">
        <f t="shared" si="0"/>
        <v>603.58000000000004</v>
      </c>
      <c r="T17" s="19">
        <f t="shared" si="0"/>
        <v>882.03</v>
      </c>
      <c r="U17" s="19">
        <f t="shared" si="0"/>
        <v>649.25</v>
      </c>
      <c r="V17" s="19">
        <f t="shared" si="0"/>
        <v>0</v>
      </c>
      <c r="W17" s="19">
        <f t="shared" si="0"/>
        <v>642.37</v>
      </c>
      <c r="X17" s="19">
        <f>SUM(X3:X16)</f>
        <v>728.21</v>
      </c>
      <c r="Y17" s="19">
        <f t="shared" si="0"/>
        <v>754.6</v>
      </c>
      <c r="Z17" s="19">
        <f t="shared" si="0"/>
        <v>8854.9</v>
      </c>
    </row>
    <row r="18" spans="1:27" ht="15.75" x14ac:dyDescent="0.25">
      <c r="A18" s="5" t="s">
        <v>343</v>
      </c>
      <c r="B18" s="4" t="s">
        <v>148</v>
      </c>
      <c r="C18" s="4" t="s">
        <v>38</v>
      </c>
      <c r="D18" s="33">
        <v>150</v>
      </c>
      <c r="E18" s="4" t="s">
        <v>4</v>
      </c>
      <c r="F18" s="64" t="s">
        <v>4</v>
      </c>
      <c r="G18" s="89"/>
      <c r="H18" s="94">
        <v>46083</v>
      </c>
      <c r="K18" s="34" t="s">
        <v>131</v>
      </c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>
        <f>SUM(Tabela4046577694112130148166391017429[[#This Row],[LEANDRO TR]:[PAULO]])</f>
        <v>0</v>
      </c>
    </row>
    <row r="19" spans="1:27" ht="15.75" x14ac:dyDescent="0.25">
      <c r="A19" s="5" t="s">
        <v>217</v>
      </c>
      <c r="B19" s="4" t="s">
        <v>148</v>
      </c>
      <c r="C19" s="4" t="s">
        <v>38</v>
      </c>
      <c r="D19" s="33">
        <v>250</v>
      </c>
      <c r="E19" s="4" t="s">
        <v>4</v>
      </c>
      <c r="F19" s="64" t="s">
        <v>4</v>
      </c>
      <c r="G19" s="89"/>
      <c r="H19" s="94">
        <v>46084</v>
      </c>
      <c r="K19" s="20" t="s">
        <v>68</v>
      </c>
      <c r="L19" s="21">
        <f>(900)-(L17-L18)</f>
        <v>33.460000000000036</v>
      </c>
      <c r="M19" s="21">
        <f t="shared" ref="M19:Y19" si="1">(900)-(M17-M18)</f>
        <v>132.79999999999995</v>
      </c>
      <c r="N19" s="21">
        <f t="shared" si="1"/>
        <v>398.1</v>
      </c>
      <c r="O19" s="21">
        <f t="shared" si="1"/>
        <v>900</v>
      </c>
      <c r="P19" s="21">
        <f t="shared" si="1"/>
        <v>-43.230000000000018</v>
      </c>
      <c r="Q19" s="21">
        <f t="shared" si="1"/>
        <v>169.84000000000003</v>
      </c>
      <c r="R19" s="21">
        <f t="shared" si="1"/>
        <v>114.16999999999996</v>
      </c>
      <c r="S19" s="21">
        <f t="shared" si="1"/>
        <v>296.41999999999996</v>
      </c>
      <c r="T19" s="21">
        <f t="shared" si="1"/>
        <v>17.970000000000027</v>
      </c>
      <c r="U19" s="21">
        <f t="shared" si="1"/>
        <v>250.75</v>
      </c>
      <c r="V19" s="21">
        <f t="shared" si="1"/>
        <v>900</v>
      </c>
      <c r="W19" s="21">
        <f t="shared" si="1"/>
        <v>257.63</v>
      </c>
      <c r="X19" s="21">
        <f t="shared" si="1"/>
        <v>171.78999999999996</v>
      </c>
      <c r="Y19" s="21">
        <f t="shared" si="1"/>
        <v>145.39999999999998</v>
      </c>
      <c r="Z19" s="22">
        <f>SUM(Tabela4046577694112130148166391017429[[#This Row],[LEANDRO TR]:[PAULO]])</f>
        <v>3745.1000000000008</v>
      </c>
    </row>
    <row r="20" spans="1:27" ht="15.75" x14ac:dyDescent="0.25">
      <c r="A20" s="5" t="s">
        <v>620</v>
      </c>
      <c r="B20" s="4" t="s">
        <v>148</v>
      </c>
      <c r="C20" s="4" t="s">
        <v>39</v>
      </c>
      <c r="D20" s="33">
        <v>25</v>
      </c>
      <c r="E20" s="4" t="s">
        <v>4</v>
      </c>
      <c r="F20" s="64" t="s">
        <v>4</v>
      </c>
      <c r="G20" s="89"/>
      <c r="H20" s="94">
        <v>46084</v>
      </c>
      <c r="O20" s="7"/>
    </row>
    <row r="21" spans="1:27" ht="16.5" customHeight="1" x14ac:dyDescent="0.3">
      <c r="A21" s="5" t="s">
        <v>621</v>
      </c>
      <c r="B21" s="4" t="s">
        <v>148</v>
      </c>
      <c r="C21" s="4" t="s">
        <v>38</v>
      </c>
      <c r="D21" s="33">
        <v>150</v>
      </c>
      <c r="E21" s="4" t="s">
        <v>4</v>
      </c>
      <c r="F21" s="64" t="s">
        <v>4</v>
      </c>
      <c r="G21" s="89"/>
      <c r="H21" s="94">
        <v>46084</v>
      </c>
      <c r="K21" s="134" t="s">
        <v>107</v>
      </c>
      <c r="L21" s="135"/>
      <c r="M21" s="135"/>
      <c r="N21" s="135"/>
      <c r="O21" s="135"/>
      <c r="P21" s="135"/>
      <c r="Q21" s="135"/>
      <c r="R21" s="135"/>
      <c r="S21" s="7"/>
    </row>
    <row r="22" spans="1:27" ht="15.75" x14ac:dyDescent="0.25">
      <c r="A22" s="5" t="s">
        <v>567</v>
      </c>
      <c r="B22" s="4" t="s">
        <v>15</v>
      </c>
      <c r="C22" s="4" t="s">
        <v>15</v>
      </c>
      <c r="D22" s="33">
        <v>266.67</v>
      </c>
      <c r="E22" s="4" t="s">
        <v>4</v>
      </c>
      <c r="F22" s="64" t="s">
        <v>4</v>
      </c>
      <c r="G22" s="89"/>
      <c r="H22" s="94">
        <v>46084</v>
      </c>
      <c r="K22" t="s">
        <v>45</v>
      </c>
      <c r="L22" t="s">
        <v>163</v>
      </c>
      <c r="M22" t="s">
        <v>6</v>
      </c>
      <c r="N22" t="s">
        <v>162</v>
      </c>
      <c r="O22" t="s">
        <v>108</v>
      </c>
      <c r="P22" t="s">
        <v>182</v>
      </c>
      <c r="Q22" t="s">
        <v>164</v>
      </c>
      <c r="R22" t="s">
        <v>168</v>
      </c>
      <c r="X22" s="7"/>
      <c r="Y22" s="7"/>
      <c r="Z22" s="7"/>
      <c r="AA22" s="7"/>
    </row>
    <row r="23" spans="1:27" ht="15.75" x14ac:dyDescent="0.25">
      <c r="A23" s="5" t="s">
        <v>622</v>
      </c>
      <c r="B23" s="4" t="s">
        <v>15</v>
      </c>
      <c r="C23" s="4" t="s">
        <v>15</v>
      </c>
      <c r="D23" s="33">
        <v>303.33</v>
      </c>
      <c r="E23" s="4" t="s">
        <v>4</v>
      </c>
      <c r="F23" s="64" t="s">
        <v>4</v>
      </c>
      <c r="G23" s="89"/>
      <c r="H23" s="94">
        <v>46084</v>
      </c>
      <c r="K23" t="s">
        <v>46</v>
      </c>
      <c r="L23" t="s">
        <v>165</v>
      </c>
      <c r="M23" s="1">
        <v>332.63</v>
      </c>
      <c r="N23" s="3">
        <v>46316</v>
      </c>
      <c r="O23" t="s">
        <v>177</v>
      </c>
      <c r="P23" t="s">
        <v>184</v>
      </c>
      <c r="Q23" t="s">
        <v>166</v>
      </c>
      <c r="R23" t="s">
        <v>169</v>
      </c>
    </row>
    <row r="24" spans="1:27" ht="15.75" x14ac:dyDescent="0.25">
      <c r="A24" s="5" t="s">
        <v>623</v>
      </c>
      <c r="B24" s="4" t="s">
        <v>15</v>
      </c>
      <c r="C24" s="4" t="s">
        <v>15</v>
      </c>
      <c r="D24" s="33">
        <v>390</v>
      </c>
      <c r="E24" s="4" t="s">
        <v>4</v>
      </c>
      <c r="F24" s="64" t="s">
        <v>4</v>
      </c>
      <c r="G24" s="89"/>
      <c r="H24" s="94">
        <v>46084</v>
      </c>
      <c r="K24" t="s">
        <v>47</v>
      </c>
      <c r="L24" t="s">
        <v>165</v>
      </c>
      <c r="M24" s="1">
        <v>245.75</v>
      </c>
      <c r="N24" s="3">
        <v>46284</v>
      </c>
      <c r="O24" t="s">
        <v>177</v>
      </c>
      <c r="P24" t="s">
        <v>184</v>
      </c>
      <c r="Q24" t="s">
        <v>166</v>
      </c>
      <c r="R24" t="s">
        <v>169</v>
      </c>
    </row>
    <row r="25" spans="1:27" ht="15.75" x14ac:dyDescent="0.25">
      <c r="A25" s="5" t="s">
        <v>624</v>
      </c>
      <c r="B25" s="4" t="s">
        <v>15</v>
      </c>
      <c r="C25" s="4" t="s">
        <v>15</v>
      </c>
      <c r="D25" s="33">
        <v>290.33</v>
      </c>
      <c r="E25" s="4" t="s">
        <v>4</v>
      </c>
      <c r="F25" s="64" t="s">
        <v>4</v>
      </c>
      <c r="G25" s="89"/>
      <c r="H25" s="94">
        <v>46084</v>
      </c>
      <c r="K25" t="s">
        <v>48</v>
      </c>
      <c r="L25" t="s">
        <v>167</v>
      </c>
      <c r="M25" s="1">
        <v>195.16</v>
      </c>
      <c r="N25" s="3">
        <v>46311</v>
      </c>
      <c r="O25" t="s">
        <v>177</v>
      </c>
      <c r="P25" t="s">
        <v>184</v>
      </c>
      <c r="Q25" t="s">
        <v>166</v>
      </c>
      <c r="R25" t="s">
        <v>169</v>
      </c>
      <c r="T25" s="7"/>
    </row>
    <row r="26" spans="1:27" ht="15.75" x14ac:dyDescent="0.25">
      <c r="A26" s="5" t="s">
        <v>625</v>
      </c>
      <c r="B26" s="4" t="s">
        <v>15</v>
      </c>
      <c r="C26" s="4" t="s">
        <v>15</v>
      </c>
      <c r="D26" s="33">
        <v>283.33</v>
      </c>
      <c r="E26" s="4" t="s">
        <v>4</v>
      </c>
      <c r="F26" s="64" t="s">
        <v>4</v>
      </c>
      <c r="G26" s="89"/>
      <c r="H26" s="94">
        <v>46084</v>
      </c>
      <c r="K26" t="s">
        <v>51</v>
      </c>
      <c r="L26" t="s">
        <v>170</v>
      </c>
      <c r="M26" s="1">
        <v>267.10000000000002</v>
      </c>
      <c r="N26" s="3">
        <v>46232</v>
      </c>
      <c r="O26" t="s">
        <v>177</v>
      </c>
      <c r="P26" t="s">
        <v>184</v>
      </c>
      <c r="Q26" t="s">
        <v>166</v>
      </c>
      <c r="R26" t="s">
        <v>169</v>
      </c>
    </row>
    <row r="27" spans="1:27" ht="15.75" x14ac:dyDescent="0.25">
      <c r="A27" s="5" t="s">
        <v>237</v>
      </c>
      <c r="B27" s="4" t="s">
        <v>15</v>
      </c>
      <c r="C27" s="4" t="s">
        <v>15</v>
      </c>
      <c r="D27" s="33">
        <v>173.33</v>
      </c>
      <c r="E27" s="4" t="s">
        <v>4</v>
      </c>
      <c r="F27" s="64" t="s">
        <v>4</v>
      </c>
      <c r="G27" s="89"/>
      <c r="H27" s="94">
        <v>46084</v>
      </c>
      <c r="K27" t="s">
        <v>52</v>
      </c>
      <c r="L27" t="s">
        <v>170</v>
      </c>
      <c r="M27" s="1">
        <v>210.78</v>
      </c>
      <c r="N27" s="3">
        <v>46196</v>
      </c>
      <c r="O27" t="s">
        <v>178</v>
      </c>
      <c r="P27" t="s">
        <v>183</v>
      </c>
      <c r="Q27" t="s">
        <v>172</v>
      </c>
      <c r="R27" t="s">
        <v>169</v>
      </c>
    </row>
    <row r="28" spans="1:27" ht="15.75" x14ac:dyDescent="0.25">
      <c r="A28" s="5" t="s">
        <v>626</v>
      </c>
      <c r="B28" s="4" t="s">
        <v>138</v>
      </c>
      <c r="C28" s="4" t="s">
        <v>39</v>
      </c>
      <c r="D28" s="33">
        <v>284.20999999999998</v>
      </c>
      <c r="E28" s="4" t="s">
        <v>4</v>
      </c>
      <c r="F28" s="64" t="s">
        <v>4</v>
      </c>
      <c r="G28" s="89"/>
      <c r="H28" s="94">
        <v>46084</v>
      </c>
      <c r="K28" t="s">
        <v>54</v>
      </c>
      <c r="L28" t="s">
        <v>170</v>
      </c>
      <c r="M28" s="1">
        <v>187.73</v>
      </c>
      <c r="N28" s="3">
        <v>46145</v>
      </c>
      <c r="O28" t="s">
        <v>176</v>
      </c>
      <c r="P28" t="s">
        <v>183</v>
      </c>
      <c r="R28" t="s">
        <v>169</v>
      </c>
    </row>
    <row r="29" spans="1:27" ht="15.75" x14ac:dyDescent="0.25">
      <c r="A29" s="5" t="s">
        <v>627</v>
      </c>
      <c r="B29" s="4" t="s">
        <v>148</v>
      </c>
      <c r="C29" s="4" t="s">
        <v>38</v>
      </c>
      <c r="D29" s="33">
        <v>8</v>
      </c>
      <c r="E29" s="4" t="s">
        <v>4</v>
      </c>
      <c r="F29" s="64" t="s">
        <v>4</v>
      </c>
      <c r="G29" s="89"/>
      <c r="H29" s="94">
        <v>46084</v>
      </c>
      <c r="K29" t="s">
        <v>56</v>
      </c>
      <c r="L29" t="s">
        <v>173</v>
      </c>
      <c r="M29" s="1">
        <v>273.82</v>
      </c>
      <c r="N29" s="3">
        <v>46226</v>
      </c>
      <c r="O29" t="s">
        <v>109</v>
      </c>
      <c r="P29" t="s">
        <v>183</v>
      </c>
      <c r="Q29" t="s">
        <v>174</v>
      </c>
      <c r="R29" t="s">
        <v>169</v>
      </c>
    </row>
    <row r="30" spans="1:27" ht="15.75" x14ac:dyDescent="0.25">
      <c r="A30" s="5" t="s">
        <v>628</v>
      </c>
      <c r="B30" s="4" t="s">
        <v>148</v>
      </c>
      <c r="C30" s="4" t="s">
        <v>38</v>
      </c>
      <c r="D30" s="33">
        <v>8</v>
      </c>
      <c r="E30" s="4" t="s">
        <v>4</v>
      </c>
      <c r="F30" s="64" t="s">
        <v>4</v>
      </c>
      <c r="G30" s="89"/>
      <c r="H30" s="94">
        <v>46084</v>
      </c>
      <c r="K30" t="s">
        <v>59</v>
      </c>
      <c r="L30" t="s">
        <v>167</v>
      </c>
      <c r="M30" s="1">
        <v>263.5</v>
      </c>
      <c r="N30" s="3">
        <v>46319</v>
      </c>
      <c r="O30" t="s">
        <v>177</v>
      </c>
      <c r="P30" t="s">
        <v>184</v>
      </c>
      <c r="Q30" t="s">
        <v>166</v>
      </c>
      <c r="R30" t="s">
        <v>169</v>
      </c>
    </row>
    <row r="31" spans="1:27" ht="15.75" x14ac:dyDescent="0.25">
      <c r="A31" s="5" t="s">
        <v>629</v>
      </c>
      <c r="B31" s="4" t="s">
        <v>148</v>
      </c>
      <c r="C31" s="4" t="s">
        <v>38</v>
      </c>
      <c r="D31" s="33">
        <v>8</v>
      </c>
      <c r="E31" s="4" t="s">
        <v>4</v>
      </c>
      <c r="F31" s="64" t="s">
        <v>4</v>
      </c>
      <c r="G31" s="89"/>
      <c r="H31" s="94">
        <v>46084</v>
      </c>
      <c r="K31" t="s">
        <v>60</v>
      </c>
      <c r="L31" t="s">
        <v>170</v>
      </c>
      <c r="M31" s="1">
        <v>282.75</v>
      </c>
      <c r="N31" s="3">
        <v>46263</v>
      </c>
      <c r="O31" t="s">
        <v>177</v>
      </c>
      <c r="P31" t="s">
        <v>184</v>
      </c>
      <c r="Q31" s="40" t="s">
        <v>166</v>
      </c>
      <c r="R31" t="s">
        <v>169</v>
      </c>
    </row>
    <row r="32" spans="1:27" ht="15.75" x14ac:dyDescent="0.25">
      <c r="A32" s="5" t="s">
        <v>630</v>
      </c>
      <c r="B32" s="4" t="s">
        <v>148</v>
      </c>
      <c r="C32" s="4" t="s">
        <v>38</v>
      </c>
      <c r="D32" s="33">
        <v>810</v>
      </c>
      <c r="E32" s="4" t="s">
        <v>4</v>
      </c>
      <c r="F32" s="64" t="s">
        <v>4</v>
      </c>
      <c r="G32" s="89"/>
      <c r="H32" s="94">
        <v>46084</v>
      </c>
      <c r="K32" t="s">
        <v>62</v>
      </c>
      <c r="L32" t="s">
        <v>179</v>
      </c>
      <c r="M32" s="1">
        <v>601.11</v>
      </c>
      <c r="N32" s="3">
        <v>46205</v>
      </c>
      <c r="O32" t="s">
        <v>180</v>
      </c>
      <c r="P32" t="s">
        <v>183</v>
      </c>
      <c r="Q32" t="s">
        <v>174</v>
      </c>
      <c r="R32" t="s">
        <v>171</v>
      </c>
    </row>
    <row r="33" spans="1:20" ht="15.75" x14ac:dyDescent="0.25">
      <c r="A33" s="5" t="s">
        <v>631</v>
      </c>
      <c r="B33" s="4" t="s">
        <v>148</v>
      </c>
      <c r="C33" s="4" t="s">
        <v>38</v>
      </c>
      <c r="D33" s="33">
        <v>19.48</v>
      </c>
      <c r="E33" s="4" t="s">
        <v>4</v>
      </c>
      <c r="F33" s="64" t="s">
        <v>4</v>
      </c>
      <c r="G33" s="89"/>
      <c r="H33" s="94">
        <v>46085</v>
      </c>
      <c r="K33" t="s">
        <v>63</v>
      </c>
      <c r="L33" t="s">
        <v>173</v>
      </c>
      <c r="M33" s="1">
        <v>252.04</v>
      </c>
      <c r="N33" s="3">
        <v>46394</v>
      </c>
      <c r="O33" t="s">
        <v>177</v>
      </c>
      <c r="P33" t="s">
        <v>183</v>
      </c>
      <c r="Q33" t="s">
        <v>166</v>
      </c>
      <c r="R33" t="s">
        <v>175</v>
      </c>
    </row>
    <row r="34" spans="1:20" ht="15.75" x14ac:dyDescent="0.25">
      <c r="A34" s="5" t="s">
        <v>632</v>
      </c>
      <c r="B34" s="4" t="s">
        <v>148</v>
      </c>
      <c r="C34" s="4" t="s">
        <v>38</v>
      </c>
      <c r="D34" s="33">
        <v>13.98</v>
      </c>
      <c r="E34" s="4" t="s">
        <v>4</v>
      </c>
      <c r="F34" s="64" t="s">
        <v>4</v>
      </c>
      <c r="G34" s="89"/>
      <c r="H34" s="94">
        <v>46085</v>
      </c>
      <c r="K34" t="s">
        <v>64</v>
      </c>
      <c r="L34" t="s">
        <v>170</v>
      </c>
      <c r="M34" s="1">
        <v>208.96</v>
      </c>
      <c r="N34" s="3">
        <v>46320</v>
      </c>
      <c r="O34" t="s">
        <v>177</v>
      </c>
      <c r="P34" t="s">
        <v>184</v>
      </c>
      <c r="Q34" t="s">
        <v>166</v>
      </c>
      <c r="R34" t="s">
        <v>171</v>
      </c>
    </row>
    <row r="35" spans="1:20" ht="15.75" x14ac:dyDescent="0.25">
      <c r="A35" s="5" t="s">
        <v>42</v>
      </c>
      <c r="B35" s="4" t="s">
        <v>148</v>
      </c>
      <c r="C35" s="4" t="s">
        <v>38</v>
      </c>
      <c r="D35" s="33">
        <v>200</v>
      </c>
      <c r="E35" s="4" t="s">
        <v>4</v>
      </c>
      <c r="F35" s="64" t="s">
        <v>4</v>
      </c>
      <c r="G35" s="89"/>
      <c r="H35" s="94">
        <v>46085</v>
      </c>
      <c r="K35" t="s">
        <v>67</v>
      </c>
      <c r="L35" t="s">
        <v>167</v>
      </c>
      <c r="M35" s="1">
        <v>351.26</v>
      </c>
      <c r="N35" s="3">
        <v>46186</v>
      </c>
      <c r="O35" t="s">
        <v>178</v>
      </c>
      <c r="P35" t="s">
        <v>183</v>
      </c>
      <c r="Q35" t="s">
        <v>172</v>
      </c>
      <c r="R35" t="s">
        <v>171</v>
      </c>
    </row>
    <row r="36" spans="1:20" ht="15.75" x14ac:dyDescent="0.25">
      <c r="A36" s="5" t="s">
        <v>635</v>
      </c>
      <c r="B36" s="4" t="s">
        <v>148</v>
      </c>
      <c r="C36" s="4" t="s">
        <v>38</v>
      </c>
      <c r="D36" s="33">
        <v>380</v>
      </c>
      <c r="E36" s="4" t="s">
        <v>4</v>
      </c>
      <c r="F36" s="64" t="s">
        <v>4</v>
      </c>
      <c r="G36" s="89"/>
      <c r="H36" s="94">
        <v>46085</v>
      </c>
      <c r="K36" t="s">
        <v>113</v>
      </c>
      <c r="M36" s="1">
        <v>262.69</v>
      </c>
      <c r="N36" s="3"/>
      <c r="O36" t="s">
        <v>109</v>
      </c>
    </row>
    <row r="37" spans="1:20" ht="15.75" x14ac:dyDescent="0.25">
      <c r="A37" s="5" t="s">
        <v>636</v>
      </c>
      <c r="B37" s="4" t="s">
        <v>148</v>
      </c>
      <c r="C37" s="4" t="s">
        <v>38</v>
      </c>
      <c r="D37" s="33">
        <v>8</v>
      </c>
      <c r="E37" s="4" t="s">
        <v>4</v>
      </c>
      <c r="F37" s="64" t="s">
        <v>4</v>
      </c>
      <c r="G37" s="89"/>
      <c r="H37" s="94">
        <v>46085</v>
      </c>
    </row>
    <row r="38" spans="1:20" ht="15.75" x14ac:dyDescent="0.25">
      <c r="A38" s="5" t="s">
        <v>637</v>
      </c>
      <c r="B38" s="4" t="s">
        <v>149</v>
      </c>
      <c r="C38" s="4" t="s">
        <v>39</v>
      </c>
      <c r="D38" s="33">
        <v>824.59</v>
      </c>
      <c r="E38" s="4" t="s">
        <v>4</v>
      </c>
      <c r="F38" s="64" t="s">
        <v>4</v>
      </c>
      <c r="G38" s="89"/>
      <c r="H38" s="94">
        <v>46085</v>
      </c>
    </row>
    <row r="39" spans="1:20" ht="15.75" x14ac:dyDescent="0.25">
      <c r="A39" s="5" t="s">
        <v>226</v>
      </c>
      <c r="B39" s="4" t="s">
        <v>148</v>
      </c>
      <c r="C39" s="4" t="s">
        <v>38</v>
      </c>
      <c r="D39" s="33">
        <v>193.55</v>
      </c>
      <c r="E39" s="4" t="s">
        <v>4</v>
      </c>
      <c r="F39" s="64" t="s">
        <v>4</v>
      </c>
      <c r="G39" s="89"/>
      <c r="H39" s="94">
        <v>46085</v>
      </c>
    </row>
    <row r="40" spans="1:20" ht="15.75" x14ac:dyDescent="0.25">
      <c r="A40" s="5" t="s">
        <v>638</v>
      </c>
      <c r="B40" s="4" t="s">
        <v>148</v>
      </c>
      <c r="C40" s="4" t="s">
        <v>38</v>
      </c>
      <c r="D40" s="33">
        <v>8</v>
      </c>
      <c r="E40" s="4" t="s">
        <v>4</v>
      </c>
      <c r="F40" s="64" t="s">
        <v>4</v>
      </c>
      <c r="G40" s="95"/>
      <c r="H40" s="96">
        <v>46087</v>
      </c>
    </row>
    <row r="41" spans="1:20" ht="15.75" x14ac:dyDescent="0.25">
      <c r="A41" s="5" t="s">
        <v>639</v>
      </c>
      <c r="B41" s="4" t="s">
        <v>135</v>
      </c>
      <c r="C41" s="4" t="s">
        <v>38</v>
      </c>
      <c r="D41" s="33">
        <v>270</v>
      </c>
      <c r="E41" s="4" t="s">
        <v>4</v>
      </c>
      <c r="F41" s="64" t="s">
        <v>4</v>
      </c>
      <c r="G41" s="95"/>
      <c r="H41" s="96">
        <v>46087</v>
      </c>
    </row>
    <row r="42" spans="1:20" ht="16.5" customHeight="1" x14ac:dyDescent="0.3">
      <c r="A42" s="5" t="s">
        <v>640</v>
      </c>
      <c r="B42" s="4" t="s">
        <v>148</v>
      </c>
      <c r="C42" s="4" t="s">
        <v>38</v>
      </c>
      <c r="D42" s="33">
        <v>75</v>
      </c>
      <c r="E42" s="4" t="s">
        <v>4</v>
      </c>
      <c r="F42" s="64" t="s">
        <v>4</v>
      </c>
      <c r="G42" s="23"/>
      <c r="H42" s="96">
        <v>46087</v>
      </c>
      <c r="K42" s="136" t="s">
        <v>145</v>
      </c>
      <c r="L42" s="136"/>
      <c r="M42" s="136"/>
      <c r="N42" s="136"/>
      <c r="O42" s="136"/>
      <c r="P42" s="136"/>
      <c r="Q42" s="136"/>
      <c r="R42" s="136"/>
      <c r="S42" s="136"/>
      <c r="T42" s="136"/>
    </row>
    <row r="43" spans="1:20" ht="15.75" x14ac:dyDescent="0.25">
      <c r="A43" s="5" t="s">
        <v>641</v>
      </c>
      <c r="B43" s="4" t="s">
        <v>148</v>
      </c>
      <c r="C43" s="4" t="s">
        <v>38</v>
      </c>
      <c r="D43" s="33">
        <v>210</v>
      </c>
      <c r="E43" s="4" t="s">
        <v>4</v>
      </c>
      <c r="F43" s="64" t="s">
        <v>4</v>
      </c>
      <c r="G43" s="23"/>
      <c r="H43" s="96">
        <v>46087</v>
      </c>
      <c r="K43" t="s">
        <v>129</v>
      </c>
      <c r="L43" t="s">
        <v>126</v>
      </c>
      <c r="M43" t="s">
        <v>124</v>
      </c>
      <c r="N43" t="s">
        <v>127</v>
      </c>
      <c r="O43" t="s">
        <v>123</v>
      </c>
      <c r="P43" t="s">
        <v>122</v>
      </c>
      <c r="Q43" t="s">
        <v>153</v>
      </c>
      <c r="R43" t="s">
        <v>128</v>
      </c>
      <c r="S43" t="s">
        <v>39</v>
      </c>
      <c r="T43" t="s">
        <v>125</v>
      </c>
    </row>
    <row r="44" spans="1:20" ht="15.75" x14ac:dyDescent="0.25">
      <c r="A44" s="5" t="s">
        <v>642</v>
      </c>
      <c r="B44" s="4" t="s">
        <v>15</v>
      </c>
      <c r="C44" s="4" t="s">
        <v>15</v>
      </c>
      <c r="D44" s="33">
        <v>300</v>
      </c>
      <c r="E44" s="4" t="s">
        <v>4</v>
      </c>
      <c r="F44" s="64" t="s">
        <v>4</v>
      </c>
      <c r="G44" s="23"/>
      <c r="H44" s="96">
        <v>46087</v>
      </c>
      <c r="K44" t="s">
        <v>130</v>
      </c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5" t="s">
        <v>643</v>
      </c>
      <c r="B45" s="4" t="s">
        <v>15</v>
      </c>
      <c r="C45" s="4" t="s">
        <v>15</v>
      </c>
      <c r="D45" s="33">
        <v>150</v>
      </c>
      <c r="E45" s="4" t="s">
        <v>4</v>
      </c>
      <c r="F45" s="64" t="s">
        <v>4</v>
      </c>
      <c r="G45" s="23"/>
      <c r="H45" s="96">
        <v>46087</v>
      </c>
      <c r="K45" t="s">
        <v>133</v>
      </c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5" t="s">
        <v>600</v>
      </c>
      <c r="B46" s="4" t="s">
        <v>15</v>
      </c>
      <c r="C46" s="4" t="s">
        <v>15</v>
      </c>
      <c r="D46" s="33">
        <v>650</v>
      </c>
      <c r="E46" s="4" t="s">
        <v>4</v>
      </c>
      <c r="F46" s="64" t="s">
        <v>4</v>
      </c>
      <c r="G46" s="23"/>
      <c r="H46" s="96">
        <v>46087</v>
      </c>
      <c r="K46" t="s">
        <v>134</v>
      </c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5" t="s">
        <v>644</v>
      </c>
      <c r="B47" s="4" t="s">
        <v>15</v>
      </c>
      <c r="C47" s="4" t="s">
        <v>15</v>
      </c>
      <c r="D47" s="33">
        <v>500</v>
      </c>
      <c r="E47" s="4" t="s">
        <v>4</v>
      </c>
      <c r="F47" s="64" t="s">
        <v>4</v>
      </c>
      <c r="G47" s="23"/>
      <c r="H47" s="96">
        <v>46087</v>
      </c>
      <c r="K47" t="s">
        <v>137</v>
      </c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5" t="s">
        <v>645</v>
      </c>
      <c r="B48" s="4" t="s">
        <v>15</v>
      </c>
      <c r="C48" s="4" t="s">
        <v>15</v>
      </c>
      <c r="D48" s="33">
        <v>550</v>
      </c>
      <c r="E48" s="4" t="s">
        <v>4</v>
      </c>
      <c r="F48" s="64" t="s">
        <v>4</v>
      </c>
      <c r="G48" s="23"/>
      <c r="H48" s="96">
        <v>46087</v>
      </c>
      <c r="K48" t="s">
        <v>135</v>
      </c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5" t="s">
        <v>646</v>
      </c>
      <c r="B49" s="4" t="s">
        <v>15</v>
      </c>
      <c r="C49" s="4" t="s">
        <v>15</v>
      </c>
      <c r="D49" s="33">
        <v>150</v>
      </c>
      <c r="E49" s="4" t="s">
        <v>4</v>
      </c>
      <c r="F49" s="64" t="s">
        <v>4</v>
      </c>
      <c r="G49" s="23"/>
      <c r="H49" s="96">
        <v>46087</v>
      </c>
      <c r="K49" t="s">
        <v>136</v>
      </c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5" t="s">
        <v>647</v>
      </c>
      <c r="B50" s="4" t="s">
        <v>15</v>
      </c>
      <c r="C50" s="4" t="s">
        <v>15</v>
      </c>
      <c r="D50" s="33">
        <v>150</v>
      </c>
      <c r="E50" s="4" t="s">
        <v>4</v>
      </c>
      <c r="F50" s="64" t="s">
        <v>4</v>
      </c>
      <c r="G50" s="23"/>
      <c r="H50" s="96">
        <v>46087</v>
      </c>
      <c r="K50" t="s">
        <v>151</v>
      </c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5" t="s">
        <v>604</v>
      </c>
      <c r="B51" s="4" t="s">
        <v>15</v>
      </c>
      <c r="C51" s="4" t="s">
        <v>15</v>
      </c>
      <c r="D51" s="33">
        <v>150</v>
      </c>
      <c r="E51" s="4" t="s">
        <v>4</v>
      </c>
      <c r="F51" s="64" t="s">
        <v>4</v>
      </c>
      <c r="G51" s="23"/>
      <c r="H51" s="96">
        <v>46087</v>
      </c>
      <c r="K51" t="s">
        <v>138</v>
      </c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5" t="s">
        <v>648</v>
      </c>
      <c r="B52" s="4" t="s">
        <v>15</v>
      </c>
      <c r="C52" s="4" t="s">
        <v>15</v>
      </c>
      <c r="D52" s="33">
        <v>450</v>
      </c>
      <c r="E52" s="4" t="s">
        <v>4</v>
      </c>
      <c r="F52" s="64" t="s">
        <v>4</v>
      </c>
      <c r="G52" s="23"/>
      <c r="H52" s="96">
        <v>46087</v>
      </c>
      <c r="K52" t="s">
        <v>84</v>
      </c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5" t="s">
        <v>649</v>
      </c>
      <c r="B53" s="4" t="s">
        <v>15</v>
      </c>
      <c r="C53" s="4" t="s">
        <v>15</v>
      </c>
      <c r="D53" s="33">
        <v>150</v>
      </c>
      <c r="E53" s="4" t="s">
        <v>4</v>
      </c>
      <c r="F53" s="64" t="s">
        <v>4</v>
      </c>
      <c r="G53" s="23"/>
      <c r="H53" s="96">
        <v>46087</v>
      </c>
      <c r="K53" t="s">
        <v>139</v>
      </c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5" t="s">
        <v>650</v>
      </c>
      <c r="B54" s="4" t="s">
        <v>15</v>
      </c>
      <c r="C54" s="4" t="s">
        <v>15</v>
      </c>
      <c r="D54" s="33">
        <v>450</v>
      </c>
      <c r="E54" s="4" t="s">
        <v>4</v>
      </c>
      <c r="F54" s="64" t="s">
        <v>4</v>
      </c>
      <c r="G54" s="23"/>
      <c r="H54" s="96">
        <v>46087</v>
      </c>
      <c r="K54" t="s">
        <v>190</v>
      </c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5" t="s">
        <v>651</v>
      </c>
      <c r="B55" s="4" t="s">
        <v>15</v>
      </c>
      <c r="C55" s="4" t="s">
        <v>15</v>
      </c>
      <c r="D55" s="33">
        <v>300</v>
      </c>
      <c r="E55" s="4" t="s">
        <v>4</v>
      </c>
      <c r="F55" s="64" t="s">
        <v>4</v>
      </c>
      <c r="G55" s="23"/>
      <c r="H55" s="96">
        <v>46087</v>
      </c>
      <c r="K55" t="s">
        <v>140</v>
      </c>
      <c r="L55" s="1"/>
      <c r="M55" s="1"/>
      <c r="N55" s="1"/>
      <c r="O55" s="1"/>
      <c r="P55" s="1"/>
      <c r="Q55" s="1"/>
      <c r="R55" s="1"/>
      <c r="S55" s="1"/>
      <c r="T55" s="1"/>
    </row>
    <row r="56" spans="1:20" ht="15" customHeight="1" x14ac:dyDescent="0.25">
      <c r="A56" s="5" t="s">
        <v>654</v>
      </c>
      <c r="B56" s="4" t="s">
        <v>15</v>
      </c>
      <c r="C56" s="4" t="s">
        <v>15</v>
      </c>
      <c r="D56" s="33">
        <v>300</v>
      </c>
      <c r="E56" s="4" t="s">
        <v>4</v>
      </c>
      <c r="F56" s="64" t="s">
        <v>4</v>
      </c>
      <c r="G56" s="95"/>
      <c r="H56" s="96">
        <v>46087</v>
      </c>
      <c r="K56" t="s">
        <v>141</v>
      </c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5" t="s">
        <v>609</v>
      </c>
      <c r="B57" s="4" t="s">
        <v>15</v>
      </c>
      <c r="C57" s="4" t="s">
        <v>15</v>
      </c>
      <c r="D57" s="33">
        <v>450</v>
      </c>
      <c r="E57" s="4" t="s">
        <v>4</v>
      </c>
      <c r="F57" s="64" t="s">
        <v>4</v>
      </c>
      <c r="G57" s="95"/>
      <c r="H57" s="96">
        <v>46087</v>
      </c>
      <c r="K57" t="s">
        <v>142</v>
      </c>
      <c r="L57" s="1"/>
      <c r="M57" s="1"/>
      <c r="N57" s="1"/>
      <c r="O57" s="1"/>
      <c r="P57" s="1"/>
      <c r="Q57" s="1"/>
      <c r="R57" s="1"/>
      <c r="S57" s="1"/>
      <c r="T57" s="1"/>
    </row>
    <row r="58" spans="1:20" ht="15.75" customHeight="1" x14ac:dyDescent="0.25">
      <c r="A58" s="5" t="s">
        <v>652</v>
      </c>
      <c r="B58" s="4" t="s">
        <v>15</v>
      </c>
      <c r="C58" s="4" t="s">
        <v>15</v>
      </c>
      <c r="D58" s="33">
        <v>150</v>
      </c>
      <c r="E58" s="4" t="s">
        <v>4</v>
      </c>
      <c r="F58" s="64" t="s">
        <v>4</v>
      </c>
      <c r="G58" s="89"/>
      <c r="H58" s="96">
        <v>46087</v>
      </c>
      <c r="K58" t="s">
        <v>143</v>
      </c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5" t="s">
        <v>552</v>
      </c>
      <c r="B59" s="4" t="s">
        <v>15</v>
      </c>
      <c r="C59" s="4" t="s">
        <v>15</v>
      </c>
      <c r="D59" s="33">
        <v>150</v>
      </c>
      <c r="E59" s="4" t="s">
        <v>4</v>
      </c>
      <c r="F59" s="64" t="s">
        <v>4</v>
      </c>
      <c r="G59" s="23"/>
      <c r="H59" s="96">
        <v>46087</v>
      </c>
      <c r="K59" t="s">
        <v>201</v>
      </c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5" t="s">
        <v>653</v>
      </c>
      <c r="B60" s="4" t="s">
        <v>15</v>
      </c>
      <c r="C60" s="4" t="s">
        <v>15</v>
      </c>
      <c r="D60" s="33">
        <v>150</v>
      </c>
      <c r="E60" s="4" t="s">
        <v>4</v>
      </c>
      <c r="F60" s="64" t="s">
        <v>4</v>
      </c>
      <c r="G60" s="23"/>
      <c r="H60" s="96">
        <v>46087</v>
      </c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5" t="s">
        <v>205</v>
      </c>
      <c r="B61" s="4" t="s">
        <v>148</v>
      </c>
      <c r="C61" s="4" t="s">
        <v>38</v>
      </c>
      <c r="D61" s="52">
        <v>500</v>
      </c>
      <c r="E61" s="4" t="s">
        <v>4</v>
      </c>
      <c r="F61" s="64" t="s">
        <v>4</v>
      </c>
      <c r="G61" s="49"/>
      <c r="H61" s="96">
        <v>46087</v>
      </c>
      <c r="K61" t="s">
        <v>0</v>
      </c>
      <c r="L61" s="1">
        <f t="shared" ref="L61:T61" si="2">SUM(L44:L60)</f>
        <v>0</v>
      </c>
      <c r="M61" s="1">
        <f t="shared" si="2"/>
        <v>0</v>
      </c>
      <c r="N61" s="1">
        <f t="shared" si="2"/>
        <v>0</v>
      </c>
      <c r="O61" s="1">
        <f t="shared" si="2"/>
        <v>0</v>
      </c>
      <c r="P61" s="1">
        <f t="shared" si="2"/>
        <v>0</v>
      </c>
      <c r="Q61" s="1">
        <f t="shared" si="2"/>
        <v>0</v>
      </c>
      <c r="R61" s="1">
        <f t="shared" si="2"/>
        <v>0</v>
      </c>
      <c r="S61" s="1">
        <f t="shared" si="2"/>
        <v>0</v>
      </c>
      <c r="T61" s="1">
        <f t="shared" si="2"/>
        <v>0</v>
      </c>
    </row>
    <row r="62" spans="1:20" ht="15.75" x14ac:dyDescent="0.25">
      <c r="A62" s="5" t="s">
        <v>660</v>
      </c>
      <c r="B62" s="4" t="s">
        <v>148</v>
      </c>
      <c r="C62" s="4" t="s">
        <v>38</v>
      </c>
      <c r="D62" s="33">
        <v>130</v>
      </c>
      <c r="E62" s="4" t="s">
        <v>4</v>
      </c>
      <c r="F62" s="64" t="s">
        <v>4</v>
      </c>
      <c r="G62" s="23"/>
      <c r="H62" s="11">
        <v>46087</v>
      </c>
    </row>
    <row r="63" spans="1:20" ht="15.75" x14ac:dyDescent="0.25">
      <c r="A63" s="5" t="s">
        <v>106</v>
      </c>
      <c r="B63" s="4" t="s">
        <v>150</v>
      </c>
      <c r="C63" s="4" t="s">
        <v>38</v>
      </c>
      <c r="D63" s="12">
        <v>150</v>
      </c>
      <c r="E63" s="4" t="s">
        <v>4</v>
      </c>
      <c r="F63" s="64" t="s">
        <v>4</v>
      </c>
      <c r="G63" s="23"/>
      <c r="H63" s="11">
        <v>46090</v>
      </c>
    </row>
    <row r="64" spans="1:20" ht="15.75" x14ac:dyDescent="0.25">
      <c r="A64" s="5" t="s">
        <v>87</v>
      </c>
      <c r="B64" s="4" t="s">
        <v>148</v>
      </c>
      <c r="C64" s="4" t="s">
        <v>38</v>
      </c>
      <c r="D64" s="71">
        <v>120</v>
      </c>
      <c r="E64" s="4" t="s">
        <v>4</v>
      </c>
      <c r="F64" s="64" t="s">
        <v>4</v>
      </c>
      <c r="G64" s="68"/>
      <c r="H64" s="11">
        <v>46090</v>
      </c>
    </row>
    <row r="65" spans="1:12" ht="15.75" x14ac:dyDescent="0.25">
      <c r="A65" s="5" t="s">
        <v>83</v>
      </c>
      <c r="B65" s="4" t="s">
        <v>148</v>
      </c>
      <c r="C65" s="4" t="s">
        <v>38</v>
      </c>
      <c r="D65" s="86">
        <v>100</v>
      </c>
      <c r="E65" s="4" t="s">
        <v>4</v>
      </c>
      <c r="F65" s="64" t="s">
        <v>4</v>
      </c>
      <c r="G65" s="84"/>
      <c r="H65" s="11">
        <v>46090</v>
      </c>
      <c r="K65" s="26"/>
    </row>
    <row r="66" spans="1:12" ht="15.75" x14ac:dyDescent="0.25">
      <c r="A66" s="5" t="s">
        <v>661</v>
      </c>
      <c r="B66" s="4" t="s">
        <v>148</v>
      </c>
      <c r="C66" s="4" t="s">
        <v>38</v>
      </c>
      <c r="D66" s="12">
        <v>48.22</v>
      </c>
      <c r="E66" s="4" t="s">
        <v>4</v>
      </c>
      <c r="F66" s="64" t="s">
        <v>4</v>
      </c>
      <c r="G66" s="79"/>
      <c r="H66" s="11">
        <v>46090</v>
      </c>
    </row>
    <row r="67" spans="1:12" ht="15.75" x14ac:dyDescent="0.25">
      <c r="A67" s="5" t="s">
        <v>33</v>
      </c>
      <c r="B67" s="4" t="s">
        <v>134</v>
      </c>
      <c r="C67" s="4" t="s">
        <v>38</v>
      </c>
      <c r="D67" s="13">
        <v>99.9</v>
      </c>
      <c r="E67" s="4" t="s">
        <v>4</v>
      </c>
      <c r="F67" s="64" t="s">
        <v>4</v>
      </c>
      <c r="G67" s="53" t="s">
        <v>92</v>
      </c>
      <c r="H67" s="11">
        <v>46090</v>
      </c>
    </row>
    <row r="68" spans="1:12" ht="15.75" x14ac:dyDescent="0.25">
      <c r="A68" s="5" t="s">
        <v>34</v>
      </c>
      <c r="B68" s="4" t="s">
        <v>134</v>
      </c>
      <c r="C68" s="4" t="s">
        <v>38</v>
      </c>
      <c r="D68" s="28">
        <v>80</v>
      </c>
      <c r="E68" s="4" t="s">
        <v>4</v>
      </c>
      <c r="F68" s="64" t="s">
        <v>4</v>
      </c>
      <c r="G68" s="53" t="s">
        <v>92</v>
      </c>
      <c r="H68" s="11">
        <v>46090</v>
      </c>
    </row>
    <row r="69" spans="1:12" ht="15.75" x14ac:dyDescent="0.25">
      <c r="A69" s="5" t="s">
        <v>662</v>
      </c>
      <c r="B69" s="4" t="s">
        <v>84</v>
      </c>
      <c r="C69" s="4" t="s">
        <v>84</v>
      </c>
      <c r="D69" s="33">
        <v>108.4</v>
      </c>
      <c r="E69" s="4" t="s">
        <v>4</v>
      </c>
      <c r="F69" s="64" t="s">
        <v>4</v>
      </c>
      <c r="G69" s="53" t="s">
        <v>102</v>
      </c>
      <c r="H69" s="11">
        <v>46090</v>
      </c>
    </row>
    <row r="70" spans="1:12" ht="15.75" x14ac:dyDescent="0.25">
      <c r="A70" s="5" t="s">
        <v>235</v>
      </c>
      <c r="B70" s="4" t="s">
        <v>148</v>
      </c>
      <c r="C70" s="4" t="s">
        <v>38</v>
      </c>
      <c r="D70" s="12">
        <v>1638</v>
      </c>
      <c r="E70" s="4" t="s">
        <v>4</v>
      </c>
      <c r="F70" s="64" t="s">
        <v>4</v>
      </c>
      <c r="G70" s="53" t="s">
        <v>92</v>
      </c>
      <c r="H70" s="11">
        <v>46090</v>
      </c>
    </row>
    <row r="71" spans="1:12" ht="15.75" x14ac:dyDescent="0.25">
      <c r="A71" s="5" t="s">
        <v>667</v>
      </c>
      <c r="B71" s="4" t="s">
        <v>148</v>
      </c>
      <c r="C71" s="4" t="s">
        <v>38</v>
      </c>
      <c r="D71" s="12">
        <v>105</v>
      </c>
      <c r="E71" s="4" t="s">
        <v>4</v>
      </c>
      <c r="F71" s="64" t="s">
        <v>4</v>
      </c>
      <c r="G71" s="23"/>
      <c r="H71" s="11">
        <v>46090</v>
      </c>
    </row>
    <row r="72" spans="1:12" ht="15.75" x14ac:dyDescent="0.25">
      <c r="A72" s="5" t="s">
        <v>668</v>
      </c>
      <c r="B72" s="4" t="s">
        <v>148</v>
      </c>
      <c r="C72" s="4" t="s">
        <v>38</v>
      </c>
      <c r="D72" s="12">
        <v>105</v>
      </c>
      <c r="E72" s="4" t="s">
        <v>4</v>
      </c>
      <c r="F72" s="64" t="s">
        <v>4</v>
      </c>
      <c r="G72" s="23"/>
      <c r="H72" s="11">
        <v>46090</v>
      </c>
      <c r="L72">
        <f>800/3</f>
        <v>266.66666666666669</v>
      </c>
    </row>
    <row r="73" spans="1:12" ht="15.75" x14ac:dyDescent="0.25">
      <c r="A73" s="5" t="s">
        <v>663</v>
      </c>
      <c r="B73" s="4" t="s">
        <v>148</v>
      </c>
      <c r="C73" s="4" t="s">
        <v>38</v>
      </c>
      <c r="D73" s="86">
        <v>128.63999999999999</v>
      </c>
      <c r="E73" s="4" t="s">
        <v>4</v>
      </c>
      <c r="F73" s="64" t="s">
        <v>4</v>
      </c>
      <c r="G73" s="53" t="s">
        <v>94</v>
      </c>
      <c r="H73" s="11">
        <v>46090</v>
      </c>
    </row>
    <row r="74" spans="1:12" ht="15.75" x14ac:dyDescent="0.25">
      <c r="A74" s="5" t="s">
        <v>664</v>
      </c>
      <c r="B74" s="4" t="s">
        <v>148</v>
      </c>
      <c r="C74" s="4" t="s">
        <v>38</v>
      </c>
      <c r="D74" s="86">
        <v>100.82</v>
      </c>
      <c r="E74" s="4" t="s">
        <v>4</v>
      </c>
      <c r="F74" s="64" t="s">
        <v>4</v>
      </c>
      <c r="G74" s="53" t="s">
        <v>92</v>
      </c>
      <c r="H74" s="11">
        <v>46090</v>
      </c>
    </row>
    <row r="75" spans="1:12" ht="15.75" x14ac:dyDescent="0.25">
      <c r="A75" s="5" t="s">
        <v>665</v>
      </c>
      <c r="B75" s="4" t="s">
        <v>148</v>
      </c>
      <c r="C75" s="4" t="s">
        <v>38</v>
      </c>
      <c r="D75" s="86">
        <v>100.82</v>
      </c>
      <c r="E75" s="4" t="s">
        <v>4</v>
      </c>
      <c r="F75" s="64" t="s">
        <v>4</v>
      </c>
      <c r="G75" s="53" t="s">
        <v>92</v>
      </c>
      <c r="H75" s="11">
        <v>46090</v>
      </c>
    </row>
    <row r="76" spans="1:12" ht="15.75" x14ac:dyDescent="0.25">
      <c r="A76" s="5" t="s">
        <v>666</v>
      </c>
      <c r="B76" s="4" t="s">
        <v>148</v>
      </c>
      <c r="C76" s="4" t="s">
        <v>38</v>
      </c>
      <c r="D76" s="12">
        <v>90.74</v>
      </c>
      <c r="E76" s="4" t="s">
        <v>4</v>
      </c>
      <c r="F76" s="64" t="s">
        <v>4</v>
      </c>
      <c r="G76" s="53" t="s">
        <v>92</v>
      </c>
      <c r="H76" s="11">
        <v>46090</v>
      </c>
    </row>
    <row r="77" spans="1:12" ht="15.75" x14ac:dyDescent="0.25">
      <c r="A77" s="5" t="s">
        <v>474</v>
      </c>
      <c r="B77" s="4" t="s">
        <v>84</v>
      </c>
      <c r="C77" s="4" t="s">
        <v>84</v>
      </c>
      <c r="D77" s="12">
        <v>187.9</v>
      </c>
      <c r="E77" s="4" t="s">
        <v>4</v>
      </c>
      <c r="F77" s="64" t="s">
        <v>4</v>
      </c>
      <c r="G77" s="53" t="s">
        <v>94</v>
      </c>
      <c r="H77" s="11">
        <v>46090</v>
      </c>
    </row>
    <row r="78" spans="1:12" ht="15.75" x14ac:dyDescent="0.25">
      <c r="A78" s="5" t="s">
        <v>475</v>
      </c>
      <c r="B78" s="4" t="s">
        <v>84</v>
      </c>
      <c r="C78" s="4" t="s">
        <v>84</v>
      </c>
      <c r="D78" s="12">
        <v>187.9</v>
      </c>
      <c r="E78" s="4" t="s">
        <v>4</v>
      </c>
      <c r="F78" s="64" t="s">
        <v>4</v>
      </c>
      <c r="G78" s="53" t="s">
        <v>102</v>
      </c>
      <c r="H78" s="11">
        <v>46090</v>
      </c>
    </row>
    <row r="79" spans="1:12" ht="15.75" x14ac:dyDescent="0.25">
      <c r="A79" s="5" t="s">
        <v>476</v>
      </c>
      <c r="B79" s="4" t="s">
        <v>84</v>
      </c>
      <c r="C79" s="4" t="s">
        <v>84</v>
      </c>
      <c r="D79" s="12">
        <v>172.42</v>
      </c>
      <c r="E79" s="4" t="s">
        <v>4</v>
      </c>
      <c r="F79" s="64" t="s">
        <v>4</v>
      </c>
      <c r="G79" s="53" t="s">
        <v>101</v>
      </c>
      <c r="H79" s="11">
        <v>46090</v>
      </c>
    </row>
    <row r="80" spans="1:12" ht="15.75" x14ac:dyDescent="0.25">
      <c r="A80" s="5" t="s">
        <v>477</v>
      </c>
      <c r="B80" s="4" t="s">
        <v>84</v>
      </c>
      <c r="C80" s="4" t="s">
        <v>84</v>
      </c>
      <c r="D80" s="12">
        <v>172.42</v>
      </c>
      <c r="E80" s="4" t="s">
        <v>4</v>
      </c>
      <c r="F80" s="64" t="s">
        <v>4</v>
      </c>
      <c r="G80" s="53" t="s">
        <v>94</v>
      </c>
      <c r="H80" s="11">
        <v>46090</v>
      </c>
    </row>
    <row r="81" spans="1:8" ht="15.75" x14ac:dyDescent="0.25">
      <c r="A81" s="5" t="s">
        <v>478</v>
      </c>
      <c r="B81" s="4" t="s">
        <v>84</v>
      </c>
      <c r="C81" s="4" t="s">
        <v>84</v>
      </c>
      <c r="D81" s="12">
        <v>187.9</v>
      </c>
      <c r="E81" s="4" t="s">
        <v>4</v>
      </c>
      <c r="F81" s="64" t="s">
        <v>4</v>
      </c>
      <c r="G81" s="53" t="s">
        <v>102</v>
      </c>
      <c r="H81" s="11">
        <v>46090</v>
      </c>
    </row>
    <row r="82" spans="1:8" ht="15.75" x14ac:dyDescent="0.25">
      <c r="A82" s="5" t="s">
        <v>479</v>
      </c>
      <c r="B82" s="4" t="s">
        <v>84</v>
      </c>
      <c r="C82" s="4" t="s">
        <v>84</v>
      </c>
      <c r="D82" s="71">
        <v>187.9</v>
      </c>
      <c r="E82" s="4" t="s">
        <v>4</v>
      </c>
      <c r="F82" s="64" t="s">
        <v>4</v>
      </c>
      <c r="G82" s="53" t="s">
        <v>94</v>
      </c>
      <c r="H82" s="11">
        <v>46090</v>
      </c>
    </row>
    <row r="83" spans="1:8" ht="15.75" x14ac:dyDescent="0.25">
      <c r="A83" s="5" t="s">
        <v>480</v>
      </c>
      <c r="B83" s="4" t="s">
        <v>84</v>
      </c>
      <c r="C83" s="4" t="s">
        <v>84</v>
      </c>
      <c r="D83" s="71">
        <v>200.43</v>
      </c>
      <c r="E83" s="4" t="s">
        <v>4</v>
      </c>
      <c r="F83" s="64" t="s">
        <v>4</v>
      </c>
      <c r="G83" s="53" t="s">
        <v>285</v>
      </c>
      <c r="H83" s="11">
        <v>46090</v>
      </c>
    </row>
    <row r="84" spans="1:8" ht="15.75" x14ac:dyDescent="0.25">
      <c r="A84" s="5" t="s">
        <v>481</v>
      </c>
      <c r="B84" s="4" t="s">
        <v>84</v>
      </c>
      <c r="C84" s="4" t="s">
        <v>84</v>
      </c>
      <c r="D84" s="71">
        <v>216.44</v>
      </c>
      <c r="E84" s="4" t="s">
        <v>4</v>
      </c>
      <c r="F84" s="64" t="s">
        <v>4</v>
      </c>
      <c r="G84" s="53" t="s">
        <v>94</v>
      </c>
      <c r="H84" s="11">
        <v>46090</v>
      </c>
    </row>
    <row r="85" spans="1:8" ht="15.75" x14ac:dyDescent="0.25">
      <c r="A85" s="5" t="s">
        <v>156</v>
      </c>
      <c r="B85" s="4" t="s">
        <v>148</v>
      </c>
      <c r="C85" s="4" t="s">
        <v>38</v>
      </c>
      <c r="D85" s="38">
        <v>600</v>
      </c>
      <c r="E85" s="4" t="s">
        <v>4</v>
      </c>
      <c r="F85" s="64" t="s">
        <v>4</v>
      </c>
      <c r="G85" s="53" t="s">
        <v>92</v>
      </c>
      <c r="H85" s="11">
        <v>46090</v>
      </c>
    </row>
    <row r="86" spans="1:8" ht="15.75" x14ac:dyDescent="0.25">
      <c r="A86" s="5" t="s">
        <v>18</v>
      </c>
      <c r="B86" s="4" t="s">
        <v>148</v>
      </c>
      <c r="C86" s="4" t="s">
        <v>38</v>
      </c>
      <c r="D86" s="13">
        <v>95.87</v>
      </c>
      <c r="E86" s="4" t="s">
        <v>4</v>
      </c>
      <c r="F86" s="64" t="s">
        <v>4</v>
      </c>
      <c r="G86" s="53" t="s">
        <v>92</v>
      </c>
      <c r="H86" s="11">
        <v>46090</v>
      </c>
    </row>
    <row r="87" spans="1:8" ht="15.75" x14ac:dyDescent="0.25">
      <c r="A87" s="5" t="s">
        <v>75</v>
      </c>
      <c r="B87" s="4" t="s">
        <v>149</v>
      </c>
      <c r="C87" s="4" t="s">
        <v>38</v>
      </c>
      <c r="D87" s="12">
        <v>83.99</v>
      </c>
      <c r="E87" s="4" t="s">
        <v>4</v>
      </c>
      <c r="F87" s="64" t="s">
        <v>4</v>
      </c>
      <c r="G87" s="53" t="s">
        <v>92</v>
      </c>
      <c r="H87" s="11">
        <v>46090</v>
      </c>
    </row>
    <row r="88" spans="1:8" ht="15.75" x14ac:dyDescent="0.25">
      <c r="A88" s="5" t="s">
        <v>74</v>
      </c>
      <c r="B88" s="4" t="s">
        <v>149</v>
      </c>
      <c r="C88" s="4" t="s">
        <v>38</v>
      </c>
      <c r="D88" s="43">
        <v>208.49</v>
      </c>
      <c r="E88" s="4" t="s">
        <v>4</v>
      </c>
      <c r="F88" s="64" t="s">
        <v>4</v>
      </c>
      <c r="G88" s="53" t="s">
        <v>102</v>
      </c>
      <c r="H88" s="11">
        <v>46090</v>
      </c>
    </row>
    <row r="89" spans="1:8" ht="15.75" x14ac:dyDescent="0.25">
      <c r="A89" s="5" t="s">
        <v>181</v>
      </c>
      <c r="B89" s="4" t="s">
        <v>136</v>
      </c>
      <c r="C89" s="4" t="s">
        <v>39</v>
      </c>
      <c r="D89" s="12">
        <v>163</v>
      </c>
      <c r="E89" s="4" t="s">
        <v>4</v>
      </c>
      <c r="F89" s="64" t="s">
        <v>4</v>
      </c>
      <c r="G89" s="23"/>
      <c r="H89" s="11">
        <v>46090</v>
      </c>
    </row>
    <row r="90" spans="1:8" ht="15.75" x14ac:dyDescent="0.25">
      <c r="A90" s="5" t="s">
        <v>670</v>
      </c>
      <c r="B90" s="4" t="s">
        <v>148</v>
      </c>
      <c r="C90" s="4" t="s">
        <v>38</v>
      </c>
      <c r="D90" s="86">
        <v>70.56</v>
      </c>
      <c r="E90" s="4" t="s">
        <v>4</v>
      </c>
      <c r="F90" s="64" t="s">
        <v>4</v>
      </c>
      <c r="G90" s="84"/>
      <c r="H90" s="11">
        <v>46090</v>
      </c>
    </row>
    <row r="91" spans="1:8" ht="15.75" x14ac:dyDescent="0.25">
      <c r="A91" s="5" t="s">
        <v>672</v>
      </c>
      <c r="B91" s="4" t="s">
        <v>148</v>
      </c>
      <c r="C91" s="4" t="s">
        <v>38</v>
      </c>
      <c r="D91" s="86">
        <v>61.74</v>
      </c>
      <c r="E91" s="4" t="s">
        <v>4</v>
      </c>
      <c r="F91" s="64" t="s">
        <v>4</v>
      </c>
      <c r="G91" s="84"/>
      <c r="H91" s="11">
        <v>46090</v>
      </c>
    </row>
    <row r="92" spans="1:8" ht="15.75" x14ac:dyDescent="0.25">
      <c r="A92" s="5" t="s">
        <v>671</v>
      </c>
      <c r="B92" s="4" t="s">
        <v>148</v>
      </c>
      <c r="C92" s="4" t="s">
        <v>38</v>
      </c>
      <c r="D92" s="86">
        <v>61.74</v>
      </c>
      <c r="E92" s="4" t="s">
        <v>4</v>
      </c>
      <c r="F92" s="64" t="s">
        <v>4</v>
      </c>
      <c r="G92" s="84"/>
      <c r="H92" s="11">
        <v>46090</v>
      </c>
    </row>
    <row r="93" spans="1:8" ht="15.75" x14ac:dyDescent="0.25">
      <c r="A93" s="5" t="s">
        <v>673</v>
      </c>
      <c r="B93" s="4" t="s">
        <v>148</v>
      </c>
      <c r="C93" s="4" t="s">
        <v>38</v>
      </c>
      <c r="D93" s="12">
        <v>79.37</v>
      </c>
      <c r="E93" s="4" t="s">
        <v>4</v>
      </c>
      <c r="F93" s="64" t="s">
        <v>4</v>
      </c>
      <c r="G93" s="23"/>
      <c r="H93" s="11">
        <v>46090</v>
      </c>
    </row>
    <row r="94" spans="1:8" ht="15.75" x14ac:dyDescent="0.25">
      <c r="A94" s="5" t="s">
        <v>669</v>
      </c>
      <c r="B94" s="4" t="s">
        <v>148</v>
      </c>
      <c r="C94" s="4" t="s">
        <v>38</v>
      </c>
      <c r="D94" s="86">
        <v>61.74</v>
      </c>
      <c r="E94" s="4" t="s">
        <v>4</v>
      </c>
      <c r="F94" s="64" t="s">
        <v>4</v>
      </c>
      <c r="G94" s="84"/>
      <c r="H94" s="11">
        <v>46090</v>
      </c>
    </row>
    <row r="95" spans="1:8" ht="15.75" x14ac:dyDescent="0.25">
      <c r="A95" s="5" t="s">
        <v>674</v>
      </c>
      <c r="B95" s="4" t="s">
        <v>148</v>
      </c>
      <c r="C95" s="4" t="s">
        <v>38</v>
      </c>
      <c r="D95" s="33">
        <v>965.36</v>
      </c>
      <c r="E95" s="4" t="s">
        <v>4</v>
      </c>
      <c r="F95" s="64" t="s">
        <v>4</v>
      </c>
      <c r="G95" s="23"/>
      <c r="H95" s="11">
        <v>46090</v>
      </c>
    </row>
    <row r="96" spans="1:8" ht="15.75" x14ac:dyDescent="0.25">
      <c r="A96" s="5" t="s">
        <v>675</v>
      </c>
      <c r="B96" s="4" t="s">
        <v>84</v>
      </c>
      <c r="C96" s="4" t="s">
        <v>84</v>
      </c>
      <c r="D96" s="33">
        <v>22.32</v>
      </c>
      <c r="E96" s="4" t="s">
        <v>4</v>
      </c>
      <c r="F96" s="64" t="s">
        <v>4</v>
      </c>
      <c r="G96" s="23"/>
      <c r="H96" s="11">
        <v>46090</v>
      </c>
    </row>
    <row r="97" spans="1:13" ht="15.75" x14ac:dyDescent="0.25">
      <c r="A97" s="5" t="s">
        <v>486</v>
      </c>
      <c r="B97" s="44" t="s">
        <v>152</v>
      </c>
      <c r="C97" s="44" t="s">
        <v>38</v>
      </c>
      <c r="D97" s="13">
        <v>54.14</v>
      </c>
      <c r="E97" s="4" t="s">
        <v>4</v>
      </c>
      <c r="F97" s="64" t="s">
        <v>4</v>
      </c>
      <c r="G97" s="53" t="s">
        <v>92</v>
      </c>
      <c r="H97" s="11">
        <v>46090</v>
      </c>
      <c r="K97" s="26"/>
    </row>
    <row r="98" spans="1:13" ht="15.75" x14ac:dyDescent="0.25">
      <c r="A98" s="5" t="s">
        <v>210</v>
      </c>
      <c r="B98" s="4" t="s">
        <v>152</v>
      </c>
      <c r="C98" s="4" t="s">
        <v>38</v>
      </c>
      <c r="D98" s="33">
        <v>22</v>
      </c>
      <c r="E98" s="4" t="s">
        <v>4</v>
      </c>
      <c r="F98" s="64" t="s">
        <v>4</v>
      </c>
      <c r="G98" s="53" t="s">
        <v>92</v>
      </c>
      <c r="H98" s="11">
        <v>46090</v>
      </c>
    </row>
    <row r="99" spans="1:13" ht="15.75" x14ac:dyDescent="0.25">
      <c r="A99" s="5" t="s">
        <v>488</v>
      </c>
      <c r="B99" s="4" t="s">
        <v>148</v>
      </c>
      <c r="C99" s="4" t="s">
        <v>38</v>
      </c>
      <c r="D99" s="33">
        <v>114</v>
      </c>
      <c r="E99" s="4" t="s">
        <v>4</v>
      </c>
      <c r="F99" s="64" t="s">
        <v>4</v>
      </c>
      <c r="G99" s="53" t="s">
        <v>92</v>
      </c>
      <c r="H99" s="11">
        <v>46090</v>
      </c>
    </row>
    <row r="100" spans="1:13" ht="15.75" x14ac:dyDescent="0.25">
      <c r="A100" s="5" t="s">
        <v>676</v>
      </c>
      <c r="B100" s="4" t="s">
        <v>148</v>
      </c>
      <c r="C100" s="4" t="s">
        <v>38</v>
      </c>
      <c r="D100" s="33">
        <v>35</v>
      </c>
      <c r="E100" s="4" t="s">
        <v>4</v>
      </c>
      <c r="F100" s="64" t="s">
        <v>4</v>
      </c>
      <c r="G100" s="23"/>
      <c r="H100" s="11">
        <v>46090</v>
      </c>
    </row>
    <row r="101" spans="1:13" ht="15.75" x14ac:dyDescent="0.25">
      <c r="A101" s="5" t="s">
        <v>677</v>
      </c>
      <c r="B101" s="4" t="s">
        <v>148</v>
      </c>
      <c r="C101" s="4" t="s">
        <v>38</v>
      </c>
      <c r="D101" s="33">
        <v>28</v>
      </c>
      <c r="E101" s="4" t="s">
        <v>4</v>
      </c>
      <c r="F101" s="64" t="s">
        <v>4</v>
      </c>
      <c r="G101" s="23"/>
      <c r="H101" s="11">
        <v>46090</v>
      </c>
      <c r="K101" s="26"/>
    </row>
    <row r="102" spans="1:13" ht="15.75" x14ac:dyDescent="0.25">
      <c r="A102" s="5" t="s">
        <v>20</v>
      </c>
      <c r="B102" s="4" t="s">
        <v>136</v>
      </c>
      <c r="C102" s="4" t="s">
        <v>39</v>
      </c>
      <c r="D102" s="33">
        <v>4297.8599999999997</v>
      </c>
      <c r="E102" s="4" t="s">
        <v>4</v>
      </c>
      <c r="F102" s="64" t="s">
        <v>4</v>
      </c>
      <c r="G102" s="53" t="s">
        <v>92</v>
      </c>
      <c r="H102" s="11">
        <v>46090</v>
      </c>
    </row>
    <row r="103" spans="1:13" ht="15.75" x14ac:dyDescent="0.25">
      <c r="A103" s="5" t="s">
        <v>501</v>
      </c>
      <c r="B103" s="4" t="s">
        <v>136</v>
      </c>
      <c r="C103" s="4" t="s">
        <v>39</v>
      </c>
      <c r="D103" s="12">
        <v>846.33</v>
      </c>
      <c r="E103" s="4" t="s">
        <v>4</v>
      </c>
      <c r="F103" s="64" t="s">
        <v>4</v>
      </c>
      <c r="G103" s="53" t="s">
        <v>92</v>
      </c>
      <c r="H103" s="11">
        <v>46090</v>
      </c>
      <c r="K103" t="s">
        <v>69</v>
      </c>
    </row>
    <row r="104" spans="1:13" ht="15.75" x14ac:dyDescent="0.25">
      <c r="A104" s="5" t="s">
        <v>158</v>
      </c>
      <c r="B104" s="4" t="s">
        <v>136</v>
      </c>
      <c r="C104" s="4" t="s">
        <v>39</v>
      </c>
      <c r="D104" s="12">
        <v>1560.34</v>
      </c>
      <c r="E104" s="4" t="s">
        <v>4</v>
      </c>
      <c r="F104" s="64" t="s">
        <v>4</v>
      </c>
      <c r="G104" s="53" t="s">
        <v>92</v>
      </c>
      <c r="H104" s="11">
        <v>46090</v>
      </c>
    </row>
    <row r="105" spans="1:13" ht="15.75" x14ac:dyDescent="0.25">
      <c r="A105" s="5" t="s">
        <v>35</v>
      </c>
      <c r="B105" s="4" t="s">
        <v>148</v>
      </c>
      <c r="C105" s="4" t="s">
        <v>38</v>
      </c>
      <c r="D105" s="86">
        <v>114.44</v>
      </c>
      <c r="E105" s="4" t="s">
        <v>4</v>
      </c>
      <c r="F105" s="64" t="s">
        <v>4</v>
      </c>
      <c r="G105" s="53" t="s">
        <v>96</v>
      </c>
      <c r="H105" s="11">
        <v>46090</v>
      </c>
    </row>
    <row r="106" spans="1:13" ht="15.75" x14ac:dyDescent="0.25">
      <c r="A106" s="5" t="s">
        <v>383</v>
      </c>
      <c r="B106" s="4"/>
      <c r="C106" s="4"/>
      <c r="D106" s="97">
        <v>-150</v>
      </c>
      <c r="E106" s="4" t="s">
        <v>4</v>
      </c>
      <c r="F106" s="64" t="s">
        <v>4</v>
      </c>
      <c r="G106" s="23"/>
      <c r="H106" s="11">
        <v>46090</v>
      </c>
    </row>
    <row r="107" spans="1:13" ht="15.75" x14ac:dyDescent="0.25">
      <c r="A107" s="5" t="s">
        <v>680</v>
      </c>
      <c r="B107" s="4" t="s">
        <v>148</v>
      </c>
      <c r="C107" s="4" t="s">
        <v>38</v>
      </c>
      <c r="D107" s="33">
        <v>199.68</v>
      </c>
      <c r="E107" s="4" t="s">
        <v>4</v>
      </c>
      <c r="F107" s="64" t="s">
        <v>4</v>
      </c>
      <c r="G107" s="23"/>
      <c r="H107" s="11">
        <v>46087</v>
      </c>
    </row>
    <row r="108" spans="1:13" ht="15.75" x14ac:dyDescent="0.25">
      <c r="A108" s="5" t="s">
        <v>681</v>
      </c>
      <c r="B108" s="4" t="s">
        <v>148</v>
      </c>
      <c r="C108" s="4" t="s">
        <v>38</v>
      </c>
      <c r="D108" s="33">
        <v>16.5</v>
      </c>
      <c r="E108" s="4" t="s">
        <v>4</v>
      </c>
      <c r="F108" s="64" t="s">
        <v>4</v>
      </c>
      <c r="G108" s="23"/>
      <c r="H108" s="11">
        <v>46090</v>
      </c>
    </row>
    <row r="109" spans="1:13" ht="15.75" x14ac:dyDescent="0.25">
      <c r="A109" s="5" t="s">
        <v>682</v>
      </c>
      <c r="B109" s="4" t="s">
        <v>148</v>
      </c>
      <c r="C109" s="4" t="s">
        <v>38</v>
      </c>
      <c r="D109" s="102">
        <v>0.03</v>
      </c>
      <c r="E109" s="4" t="s">
        <v>4</v>
      </c>
      <c r="F109" s="64" t="s">
        <v>4</v>
      </c>
      <c r="G109" s="100"/>
      <c r="H109" s="101">
        <v>46090</v>
      </c>
    </row>
    <row r="110" spans="1:13" ht="15.75" x14ac:dyDescent="0.25">
      <c r="A110" s="5" t="s">
        <v>200</v>
      </c>
      <c r="B110" s="4" t="s">
        <v>148</v>
      </c>
      <c r="C110" s="4" t="s">
        <v>38</v>
      </c>
      <c r="D110" s="71">
        <v>250</v>
      </c>
      <c r="E110" s="4" t="s">
        <v>4</v>
      </c>
      <c r="F110" s="64" t="s">
        <v>4</v>
      </c>
      <c r="G110" s="68"/>
      <c r="H110" s="11">
        <v>46091</v>
      </c>
    </row>
    <row r="111" spans="1:13" ht="15.75" x14ac:dyDescent="0.25">
      <c r="A111" s="5" t="s">
        <v>77</v>
      </c>
      <c r="B111" s="4" t="s">
        <v>148</v>
      </c>
      <c r="C111" s="4" t="s">
        <v>38</v>
      </c>
      <c r="D111" s="13">
        <v>29</v>
      </c>
      <c r="E111" s="4" t="s">
        <v>4</v>
      </c>
      <c r="F111" s="64" t="s">
        <v>4</v>
      </c>
      <c r="G111" s="53" t="s">
        <v>92</v>
      </c>
      <c r="H111" s="11">
        <v>46091</v>
      </c>
    </row>
    <row r="112" spans="1:13" ht="15.75" x14ac:dyDescent="0.25">
      <c r="A112" s="5" t="s">
        <v>500</v>
      </c>
      <c r="B112" s="4" t="s">
        <v>148</v>
      </c>
      <c r="C112" s="4" t="s">
        <v>38</v>
      </c>
      <c r="D112" s="13">
        <v>10</v>
      </c>
      <c r="E112" s="4" t="s">
        <v>4</v>
      </c>
      <c r="F112" s="64" t="s">
        <v>4</v>
      </c>
      <c r="G112" s="53" t="s">
        <v>92</v>
      </c>
      <c r="H112" s="11">
        <v>46091</v>
      </c>
      <c r="M112" s="26"/>
    </row>
    <row r="113" spans="1:13" ht="15.75" x14ac:dyDescent="0.25">
      <c r="A113" s="5" t="s">
        <v>71</v>
      </c>
      <c r="B113" s="4" t="s">
        <v>148</v>
      </c>
      <c r="C113" s="4" t="s">
        <v>38</v>
      </c>
      <c r="D113" s="39">
        <v>50</v>
      </c>
      <c r="E113" s="4" t="s">
        <v>4</v>
      </c>
      <c r="F113" s="64" t="s">
        <v>4</v>
      </c>
      <c r="G113" s="53" t="s">
        <v>92</v>
      </c>
      <c r="H113" s="11">
        <v>46091</v>
      </c>
      <c r="M113" s="26"/>
    </row>
    <row r="114" spans="1:13" ht="15.75" x14ac:dyDescent="0.25">
      <c r="A114" s="5" t="s">
        <v>21</v>
      </c>
      <c r="B114" s="4" t="s">
        <v>137</v>
      </c>
      <c r="C114" s="4" t="s">
        <v>38</v>
      </c>
      <c r="D114" s="12">
        <v>1621</v>
      </c>
      <c r="E114" s="4" t="s">
        <v>4</v>
      </c>
      <c r="F114" s="64" t="s">
        <v>4</v>
      </c>
      <c r="G114" s="53" t="s">
        <v>92</v>
      </c>
      <c r="H114" s="11">
        <v>46091</v>
      </c>
    </row>
    <row r="115" spans="1:13" ht="15.75" x14ac:dyDescent="0.25">
      <c r="A115" s="5" t="s">
        <v>22</v>
      </c>
      <c r="B115" s="4" t="s">
        <v>137</v>
      </c>
      <c r="C115" s="4" t="s">
        <v>38</v>
      </c>
      <c r="D115" s="12">
        <v>1621</v>
      </c>
      <c r="E115" s="4" t="s">
        <v>4</v>
      </c>
      <c r="F115" s="64" t="s">
        <v>4</v>
      </c>
      <c r="G115" s="53" t="s">
        <v>92</v>
      </c>
      <c r="H115" s="11">
        <v>46091</v>
      </c>
    </row>
    <row r="116" spans="1:13" ht="15.75" x14ac:dyDescent="0.25">
      <c r="A116" s="5" t="s">
        <v>23</v>
      </c>
      <c r="B116" s="4" t="s">
        <v>137</v>
      </c>
      <c r="C116" s="4" t="s">
        <v>38</v>
      </c>
      <c r="D116" s="12">
        <v>1621</v>
      </c>
      <c r="E116" s="4" t="s">
        <v>4</v>
      </c>
      <c r="F116" s="64" t="s">
        <v>4</v>
      </c>
      <c r="G116" s="53" t="s">
        <v>92</v>
      </c>
      <c r="H116" s="11">
        <v>46091</v>
      </c>
    </row>
    <row r="117" spans="1:13" ht="15.75" x14ac:dyDescent="0.25">
      <c r="A117" s="5" t="s">
        <v>24</v>
      </c>
      <c r="B117" s="4" t="s">
        <v>137</v>
      </c>
      <c r="C117" s="4" t="s">
        <v>38</v>
      </c>
      <c r="D117" s="12">
        <v>1621</v>
      </c>
      <c r="E117" s="4" t="s">
        <v>4</v>
      </c>
      <c r="F117" s="64" t="s">
        <v>4</v>
      </c>
      <c r="G117" s="53" t="s">
        <v>92</v>
      </c>
      <c r="H117" s="11">
        <v>46091</v>
      </c>
    </row>
    <row r="118" spans="1:13" ht="15.75" x14ac:dyDescent="0.25">
      <c r="A118" s="5" t="s">
        <v>25</v>
      </c>
      <c r="B118" s="4" t="s">
        <v>137</v>
      </c>
      <c r="C118" s="4" t="s">
        <v>38</v>
      </c>
      <c r="D118" s="12">
        <v>2550</v>
      </c>
      <c r="E118" s="4" t="s">
        <v>4</v>
      </c>
      <c r="F118" s="64" t="s">
        <v>4</v>
      </c>
      <c r="G118" s="53" t="s">
        <v>92</v>
      </c>
      <c r="H118" s="11">
        <v>46091</v>
      </c>
      <c r="M118" t="s">
        <v>487</v>
      </c>
    </row>
    <row r="119" spans="1:13" ht="15.75" x14ac:dyDescent="0.25">
      <c r="A119" s="5" t="s">
        <v>26</v>
      </c>
      <c r="B119" s="4" t="s">
        <v>137</v>
      </c>
      <c r="C119" s="4" t="s">
        <v>39</v>
      </c>
      <c r="D119" s="13">
        <v>175</v>
      </c>
      <c r="E119" s="4" t="s">
        <v>4</v>
      </c>
      <c r="F119" s="64" t="s">
        <v>4</v>
      </c>
      <c r="G119" s="53" t="s">
        <v>92</v>
      </c>
      <c r="H119" s="11">
        <v>46091</v>
      </c>
    </row>
    <row r="120" spans="1:13" ht="15.75" x14ac:dyDescent="0.25">
      <c r="A120" s="5" t="s">
        <v>655</v>
      </c>
      <c r="B120" s="4" t="s">
        <v>15</v>
      </c>
      <c r="C120" s="4" t="s">
        <v>15</v>
      </c>
      <c r="D120" s="43">
        <v>3000</v>
      </c>
      <c r="E120" s="4" t="s">
        <v>4</v>
      </c>
      <c r="F120" s="64" t="s">
        <v>4</v>
      </c>
      <c r="G120" s="53" t="s">
        <v>92</v>
      </c>
      <c r="H120" s="11">
        <v>46091</v>
      </c>
    </row>
    <row r="121" spans="1:13" ht="15.75" x14ac:dyDescent="0.25">
      <c r="A121" s="5" t="s">
        <v>656</v>
      </c>
      <c r="B121" s="4" t="s">
        <v>15</v>
      </c>
      <c r="C121" s="4" t="s">
        <v>15</v>
      </c>
      <c r="D121" s="43">
        <v>1150</v>
      </c>
      <c r="E121" s="4" t="s">
        <v>4</v>
      </c>
      <c r="F121" s="64" t="s">
        <v>4</v>
      </c>
      <c r="G121" s="53" t="s">
        <v>92</v>
      </c>
      <c r="H121" s="11">
        <v>46091</v>
      </c>
    </row>
    <row r="122" spans="1:13" ht="15.75" x14ac:dyDescent="0.25">
      <c r="A122" s="5" t="s">
        <v>490</v>
      </c>
      <c r="B122" s="4" t="s">
        <v>15</v>
      </c>
      <c r="C122" s="4" t="s">
        <v>15</v>
      </c>
      <c r="D122" s="43">
        <v>700</v>
      </c>
      <c r="E122" s="4" t="s">
        <v>4</v>
      </c>
      <c r="F122" s="64" t="s">
        <v>4</v>
      </c>
      <c r="G122" s="53" t="s">
        <v>92</v>
      </c>
      <c r="H122" s="11">
        <v>46091</v>
      </c>
    </row>
    <row r="123" spans="1:13" ht="15.75" x14ac:dyDescent="0.25">
      <c r="A123" s="5" t="s">
        <v>657</v>
      </c>
      <c r="B123" s="4" t="s">
        <v>15</v>
      </c>
      <c r="C123" s="4" t="s">
        <v>15</v>
      </c>
      <c r="D123" s="66">
        <v>650</v>
      </c>
      <c r="E123" s="4" t="s">
        <v>4</v>
      </c>
      <c r="F123" s="64" t="s">
        <v>4</v>
      </c>
      <c r="G123" s="53" t="s">
        <v>92</v>
      </c>
      <c r="H123" s="11">
        <v>46091</v>
      </c>
    </row>
    <row r="124" spans="1:13" ht="15.75" x14ac:dyDescent="0.25">
      <c r="A124" s="5" t="s">
        <v>658</v>
      </c>
      <c r="B124" s="4" t="s">
        <v>15</v>
      </c>
      <c r="C124" s="4" t="s">
        <v>15</v>
      </c>
      <c r="D124" s="33">
        <v>300</v>
      </c>
      <c r="E124" s="4" t="s">
        <v>4</v>
      </c>
      <c r="F124" s="64" t="s">
        <v>4</v>
      </c>
      <c r="G124" s="53" t="s">
        <v>92</v>
      </c>
      <c r="H124" s="11">
        <v>46091</v>
      </c>
    </row>
    <row r="125" spans="1:13" ht="15.75" x14ac:dyDescent="0.25">
      <c r="A125" s="5" t="s">
        <v>659</v>
      </c>
      <c r="B125" s="4" t="s">
        <v>15</v>
      </c>
      <c r="C125" s="4" t="s">
        <v>15</v>
      </c>
      <c r="D125" s="43">
        <v>900</v>
      </c>
      <c r="E125" s="4" t="s">
        <v>4</v>
      </c>
      <c r="F125" s="64" t="s">
        <v>4</v>
      </c>
      <c r="G125" s="53" t="s">
        <v>92</v>
      </c>
      <c r="H125" s="11">
        <v>46091</v>
      </c>
    </row>
    <row r="126" spans="1:13" ht="15.75" x14ac:dyDescent="0.25">
      <c r="A126" s="5" t="s">
        <v>496</v>
      </c>
      <c r="B126" s="4" t="s">
        <v>15</v>
      </c>
      <c r="C126" s="4" t="s">
        <v>15</v>
      </c>
      <c r="D126" s="86">
        <v>50</v>
      </c>
      <c r="E126" s="4" t="s">
        <v>4</v>
      </c>
      <c r="F126" s="64" t="s">
        <v>4</v>
      </c>
      <c r="G126" s="53" t="s">
        <v>92</v>
      </c>
      <c r="H126" s="11">
        <v>46091</v>
      </c>
    </row>
    <row r="127" spans="1:13" ht="15.75" x14ac:dyDescent="0.25">
      <c r="A127" s="5" t="s">
        <v>223</v>
      </c>
      <c r="B127" s="4" t="s">
        <v>15</v>
      </c>
      <c r="C127" s="4" t="s">
        <v>15</v>
      </c>
      <c r="D127" s="41">
        <v>50</v>
      </c>
      <c r="E127" s="4" t="s">
        <v>4</v>
      </c>
      <c r="F127" s="64" t="s">
        <v>4</v>
      </c>
      <c r="G127" s="53" t="s">
        <v>92</v>
      </c>
      <c r="H127" s="11">
        <v>46091</v>
      </c>
    </row>
    <row r="128" spans="1:13" ht="15.75" x14ac:dyDescent="0.25">
      <c r="A128" s="5" t="s">
        <v>683</v>
      </c>
      <c r="B128" s="4" t="s">
        <v>15</v>
      </c>
      <c r="C128" s="4" t="s">
        <v>15</v>
      </c>
      <c r="D128" s="43">
        <v>200</v>
      </c>
      <c r="E128" s="4" t="s">
        <v>4</v>
      </c>
      <c r="F128" s="64" t="s">
        <v>4</v>
      </c>
      <c r="G128" s="53" t="s">
        <v>92</v>
      </c>
      <c r="H128" s="11">
        <v>46091</v>
      </c>
    </row>
    <row r="129" spans="1:8" ht="15.75" x14ac:dyDescent="0.25">
      <c r="A129" s="5" t="s">
        <v>684</v>
      </c>
      <c r="B129" s="4" t="s">
        <v>15</v>
      </c>
      <c r="C129" s="4" t="s">
        <v>15</v>
      </c>
      <c r="D129" s="43">
        <v>150</v>
      </c>
      <c r="E129" s="4" t="s">
        <v>4</v>
      </c>
      <c r="F129" s="64" t="s">
        <v>4</v>
      </c>
      <c r="G129" s="53" t="s">
        <v>92</v>
      </c>
      <c r="H129" s="11">
        <v>46091</v>
      </c>
    </row>
    <row r="130" spans="1:8" ht="15.75" x14ac:dyDescent="0.25">
      <c r="A130" s="5" t="s">
        <v>685</v>
      </c>
      <c r="B130" s="4" t="s">
        <v>15</v>
      </c>
      <c r="C130" s="4" t="s">
        <v>15</v>
      </c>
      <c r="D130" s="41">
        <v>50</v>
      </c>
      <c r="E130" s="4" t="s">
        <v>4</v>
      </c>
      <c r="F130" s="64" t="s">
        <v>4</v>
      </c>
      <c r="G130" s="53" t="s">
        <v>92</v>
      </c>
      <c r="H130" s="11">
        <v>46091</v>
      </c>
    </row>
    <row r="131" spans="1:8" ht="15.75" x14ac:dyDescent="0.25">
      <c r="A131" s="5" t="s">
        <v>686</v>
      </c>
      <c r="B131" s="4" t="s">
        <v>15</v>
      </c>
      <c r="C131" s="4" t="s">
        <v>15</v>
      </c>
      <c r="D131" s="86">
        <v>50</v>
      </c>
      <c r="E131" s="4" t="s">
        <v>4</v>
      </c>
      <c r="F131" s="64" t="s">
        <v>4</v>
      </c>
      <c r="G131" s="53" t="s">
        <v>92</v>
      </c>
      <c r="H131" s="11">
        <v>46091</v>
      </c>
    </row>
    <row r="132" spans="1:8" ht="15.75" x14ac:dyDescent="0.25">
      <c r="A132" s="5" t="s">
        <v>687</v>
      </c>
      <c r="B132" s="4" t="s">
        <v>15</v>
      </c>
      <c r="C132" s="4" t="s">
        <v>15</v>
      </c>
      <c r="D132" s="52">
        <v>25</v>
      </c>
      <c r="E132" s="4" t="s">
        <v>4</v>
      </c>
      <c r="F132" s="64" t="s">
        <v>4</v>
      </c>
      <c r="G132" s="53" t="s">
        <v>92</v>
      </c>
      <c r="H132" s="11">
        <v>46091</v>
      </c>
    </row>
    <row r="133" spans="1:8" ht="15.75" x14ac:dyDescent="0.25">
      <c r="A133" s="5" t="s">
        <v>688</v>
      </c>
      <c r="B133" s="4" t="s">
        <v>15</v>
      </c>
      <c r="C133" s="4" t="s">
        <v>15</v>
      </c>
      <c r="D133" s="52">
        <v>25</v>
      </c>
      <c r="E133" s="4" t="s">
        <v>4</v>
      </c>
      <c r="F133" s="64" t="s">
        <v>4</v>
      </c>
      <c r="G133" s="53" t="s">
        <v>92</v>
      </c>
      <c r="H133" s="11">
        <v>46091</v>
      </c>
    </row>
    <row r="134" spans="1:8" ht="15.75" x14ac:dyDescent="0.25">
      <c r="A134" s="5" t="s">
        <v>690</v>
      </c>
      <c r="B134" s="4" t="s">
        <v>15</v>
      </c>
      <c r="C134" s="4" t="s">
        <v>15</v>
      </c>
      <c r="D134" s="33">
        <v>180</v>
      </c>
      <c r="E134" s="4" t="s">
        <v>4</v>
      </c>
      <c r="F134" s="64" t="s">
        <v>4</v>
      </c>
      <c r="G134" s="53" t="s">
        <v>92</v>
      </c>
      <c r="H134" s="11">
        <v>46091</v>
      </c>
    </row>
    <row r="135" spans="1:8" ht="15.75" x14ac:dyDescent="0.25">
      <c r="A135" s="5" t="s">
        <v>691</v>
      </c>
      <c r="B135" s="4" t="s">
        <v>15</v>
      </c>
      <c r="C135" s="4" t="s">
        <v>15</v>
      </c>
      <c r="D135" s="43">
        <v>3600</v>
      </c>
      <c r="E135" s="4" t="s">
        <v>4</v>
      </c>
      <c r="F135" s="64" t="s">
        <v>4</v>
      </c>
      <c r="G135" s="53" t="s">
        <v>92</v>
      </c>
      <c r="H135" s="11">
        <v>46091</v>
      </c>
    </row>
    <row r="136" spans="1:8" ht="15.75" x14ac:dyDescent="0.25">
      <c r="A136" s="5" t="s">
        <v>689</v>
      </c>
      <c r="B136" s="4" t="s">
        <v>15</v>
      </c>
      <c r="C136" s="4" t="s">
        <v>15</v>
      </c>
      <c r="D136" s="42">
        <v>-1437.5</v>
      </c>
      <c r="E136" s="4" t="s">
        <v>4</v>
      </c>
      <c r="F136" s="64" t="s">
        <v>4</v>
      </c>
      <c r="G136" s="53" t="s">
        <v>92</v>
      </c>
      <c r="H136" s="11">
        <v>46091</v>
      </c>
    </row>
    <row r="137" spans="1:8" ht="15.75" x14ac:dyDescent="0.25">
      <c r="A137" s="5" t="s">
        <v>692</v>
      </c>
      <c r="B137" s="4" t="s">
        <v>15</v>
      </c>
      <c r="C137" s="4" t="s">
        <v>15</v>
      </c>
      <c r="D137" s="33">
        <v>1421</v>
      </c>
      <c r="E137" s="4" t="s">
        <v>4</v>
      </c>
      <c r="F137" s="64" t="s">
        <v>4</v>
      </c>
      <c r="G137" s="23"/>
      <c r="H137" s="11">
        <v>46091</v>
      </c>
    </row>
    <row r="138" spans="1:8" ht="15.75" x14ac:dyDescent="0.25">
      <c r="A138" s="5" t="s">
        <v>693</v>
      </c>
      <c r="B138" s="4" t="s">
        <v>15</v>
      </c>
      <c r="C138" s="4" t="s">
        <v>15</v>
      </c>
      <c r="D138" s="99">
        <v>340.33</v>
      </c>
      <c r="E138" s="4" t="s">
        <v>4</v>
      </c>
      <c r="F138" s="64" t="s">
        <v>4</v>
      </c>
      <c r="G138" s="100"/>
      <c r="H138" s="11">
        <v>46091</v>
      </c>
    </row>
    <row r="139" spans="1:8" ht="15.75" x14ac:dyDescent="0.25">
      <c r="A139" s="5" t="s">
        <v>622</v>
      </c>
      <c r="B139" s="4" t="s">
        <v>15</v>
      </c>
      <c r="C139" s="4" t="s">
        <v>15</v>
      </c>
      <c r="D139" s="33">
        <v>270</v>
      </c>
      <c r="E139" s="4" t="s">
        <v>4</v>
      </c>
      <c r="F139" s="64" t="s">
        <v>4</v>
      </c>
      <c r="G139" s="23"/>
      <c r="H139" s="11">
        <v>46091</v>
      </c>
    </row>
    <row r="140" spans="1:8" ht="15.75" x14ac:dyDescent="0.25">
      <c r="A140" s="5" t="s">
        <v>694</v>
      </c>
      <c r="B140" s="4" t="s">
        <v>15</v>
      </c>
      <c r="C140" s="4" t="s">
        <v>15</v>
      </c>
      <c r="D140" s="33">
        <v>1227.33</v>
      </c>
      <c r="E140" s="4" t="s">
        <v>4</v>
      </c>
      <c r="F140" s="64" t="s">
        <v>4</v>
      </c>
      <c r="G140" s="23"/>
      <c r="H140" s="11">
        <v>46091</v>
      </c>
    </row>
    <row r="141" spans="1:8" ht="15.75" x14ac:dyDescent="0.25">
      <c r="A141" s="5" t="s">
        <v>695</v>
      </c>
      <c r="B141" s="4" t="s">
        <v>135</v>
      </c>
      <c r="C141" s="4" t="s">
        <v>39</v>
      </c>
      <c r="D141" s="99">
        <v>45</v>
      </c>
      <c r="E141" s="4" t="s">
        <v>4</v>
      </c>
      <c r="F141" s="64" t="s">
        <v>4</v>
      </c>
      <c r="G141" s="100"/>
      <c r="H141" s="11">
        <v>46091</v>
      </c>
    </row>
    <row r="142" spans="1:8" ht="15.75" x14ac:dyDescent="0.25">
      <c r="A142" s="5" t="s">
        <v>696</v>
      </c>
      <c r="B142" s="4" t="s">
        <v>135</v>
      </c>
      <c r="C142" s="4" t="s">
        <v>39</v>
      </c>
      <c r="D142" s="33">
        <v>65</v>
      </c>
      <c r="E142" s="4" t="s">
        <v>4</v>
      </c>
      <c r="F142" s="64" t="s">
        <v>4</v>
      </c>
      <c r="G142" s="53"/>
      <c r="H142" s="11">
        <v>46091</v>
      </c>
    </row>
    <row r="143" spans="1:8" ht="15.75" x14ac:dyDescent="0.25">
      <c r="A143" s="5" t="s">
        <v>72</v>
      </c>
      <c r="B143" s="4" t="s">
        <v>149</v>
      </c>
      <c r="C143" s="4" t="s">
        <v>39</v>
      </c>
      <c r="D143" s="12">
        <v>48</v>
      </c>
      <c r="E143" s="4" t="s">
        <v>4</v>
      </c>
      <c r="F143" s="64" t="s">
        <v>4</v>
      </c>
      <c r="G143" s="53" t="s">
        <v>92</v>
      </c>
      <c r="H143" s="11">
        <v>46091</v>
      </c>
    </row>
    <row r="144" spans="1:8" ht="15.75" x14ac:dyDescent="0.25">
      <c r="A144" s="5" t="s">
        <v>268</v>
      </c>
      <c r="B144" s="4" t="s">
        <v>15</v>
      </c>
      <c r="C144" s="4" t="s">
        <v>15</v>
      </c>
      <c r="D144" s="99">
        <v>114.17</v>
      </c>
      <c r="E144" s="4" t="s">
        <v>4</v>
      </c>
      <c r="F144" s="64" t="s">
        <v>4</v>
      </c>
      <c r="G144" s="53" t="s">
        <v>92</v>
      </c>
      <c r="H144" s="11">
        <v>46091</v>
      </c>
    </row>
    <row r="145" spans="1:8" ht="15.75" x14ac:dyDescent="0.25">
      <c r="A145" s="5" t="s">
        <v>212</v>
      </c>
      <c r="B145" s="4" t="s">
        <v>15</v>
      </c>
      <c r="C145" s="4" t="s">
        <v>15</v>
      </c>
      <c r="D145" s="99">
        <v>296.42</v>
      </c>
      <c r="E145" s="4" t="s">
        <v>4</v>
      </c>
      <c r="F145" s="64" t="s">
        <v>4</v>
      </c>
      <c r="G145" s="53" t="s">
        <v>92</v>
      </c>
      <c r="H145" s="11">
        <v>46091</v>
      </c>
    </row>
    <row r="146" spans="1:8" ht="15.75" x14ac:dyDescent="0.25">
      <c r="A146" s="5" t="s">
        <v>19</v>
      </c>
      <c r="B146" s="4" t="s">
        <v>136</v>
      </c>
      <c r="C146" s="4" t="s">
        <v>39</v>
      </c>
      <c r="D146" s="12">
        <v>1598.54</v>
      </c>
      <c r="E146" s="4" t="s">
        <v>4</v>
      </c>
      <c r="F146" s="64" t="s">
        <v>4</v>
      </c>
      <c r="G146" s="53" t="s">
        <v>92</v>
      </c>
      <c r="H146" s="11">
        <v>46091</v>
      </c>
    </row>
    <row r="147" spans="1:8" ht="15.75" x14ac:dyDescent="0.25">
      <c r="A147" s="5" t="s">
        <v>111</v>
      </c>
      <c r="B147" s="4" t="s">
        <v>149</v>
      </c>
      <c r="C147" s="4" t="s">
        <v>38</v>
      </c>
      <c r="D147" s="36">
        <v>50.99</v>
      </c>
      <c r="E147" s="4" t="s">
        <v>4</v>
      </c>
      <c r="F147" s="64" t="s">
        <v>4</v>
      </c>
      <c r="G147" s="100"/>
      <c r="H147" s="101">
        <v>46092</v>
      </c>
    </row>
    <row r="148" spans="1:8" ht="15.75" x14ac:dyDescent="0.25">
      <c r="A148" s="5" t="s">
        <v>422</v>
      </c>
      <c r="B148" s="4" t="s">
        <v>148</v>
      </c>
      <c r="C148" s="4" t="s">
        <v>38</v>
      </c>
      <c r="D148" s="33">
        <v>250</v>
      </c>
      <c r="E148" s="4" t="s">
        <v>4</v>
      </c>
      <c r="F148" s="64" t="s">
        <v>4</v>
      </c>
      <c r="G148" s="100"/>
      <c r="H148" s="101">
        <v>46092</v>
      </c>
    </row>
    <row r="149" spans="1:8" ht="15.75" x14ac:dyDescent="0.25">
      <c r="A149" s="5" t="s">
        <v>502</v>
      </c>
      <c r="B149" s="4" t="s">
        <v>152</v>
      </c>
      <c r="C149" s="4" t="s">
        <v>38</v>
      </c>
      <c r="D149" s="12">
        <v>80</v>
      </c>
      <c r="E149" s="4" t="s">
        <v>4</v>
      </c>
      <c r="F149" s="64" t="s">
        <v>4</v>
      </c>
      <c r="G149" s="100"/>
      <c r="H149" s="101">
        <v>46092</v>
      </c>
    </row>
    <row r="150" spans="1:8" ht="15.75" x14ac:dyDescent="0.25">
      <c r="A150" s="5" t="s">
        <v>697</v>
      </c>
      <c r="B150" s="4" t="s">
        <v>148</v>
      </c>
      <c r="C150" s="4" t="s">
        <v>38</v>
      </c>
      <c r="D150" s="99">
        <v>200</v>
      </c>
      <c r="E150" s="4" t="s">
        <v>4</v>
      </c>
      <c r="F150" s="64" t="s">
        <v>4</v>
      </c>
      <c r="G150" s="100"/>
      <c r="H150" s="101">
        <v>46092</v>
      </c>
    </row>
    <row r="151" spans="1:8" ht="15.75" x14ac:dyDescent="0.25">
      <c r="A151" s="5" t="s">
        <v>699</v>
      </c>
      <c r="B151" s="4" t="s">
        <v>148</v>
      </c>
      <c r="C151" s="4" t="s">
        <v>39</v>
      </c>
      <c r="D151" s="12">
        <v>33.4</v>
      </c>
      <c r="E151" s="4" t="s">
        <v>4</v>
      </c>
      <c r="F151" s="64" t="s">
        <v>4</v>
      </c>
      <c r="G151" s="79"/>
      <c r="H151" s="101">
        <v>46092</v>
      </c>
    </row>
    <row r="152" spans="1:8" ht="15.75" x14ac:dyDescent="0.25">
      <c r="A152" s="5" t="s">
        <v>698</v>
      </c>
      <c r="B152" s="4" t="s">
        <v>148</v>
      </c>
      <c r="C152" s="4" t="s">
        <v>38</v>
      </c>
      <c r="D152" s="99">
        <v>70</v>
      </c>
      <c r="E152" s="4" t="s">
        <v>4</v>
      </c>
      <c r="F152" s="64" t="s">
        <v>4</v>
      </c>
      <c r="G152" s="100"/>
      <c r="H152" s="101">
        <v>46092</v>
      </c>
    </row>
    <row r="153" spans="1:8" ht="15.75" x14ac:dyDescent="0.25">
      <c r="A153" s="5" t="s">
        <v>110</v>
      </c>
      <c r="B153" s="4" t="s">
        <v>148</v>
      </c>
      <c r="C153" s="4" t="s">
        <v>38</v>
      </c>
      <c r="D153" s="12">
        <v>200</v>
      </c>
      <c r="E153" s="4" t="s">
        <v>4</v>
      </c>
      <c r="F153" s="64" t="s">
        <v>4</v>
      </c>
      <c r="G153" s="23"/>
      <c r="H153" s="80">
        <v>46093</v>
      </c>
    </row>
    <row r="154" spans="1:8" ht="15.75" x14ac:dyDescent="0.25">
      <c r="A154" s="5" t="s">
        <v>700</v>
      </c>
      <c r="B154" s="4" t="s">
        <v>148</v>
      </c>
      <c r="C154" s="4" t="s">
        <v>38</v>
      </c>
      <c r="D154" s="99">
        <v>75</v>
      </c>
      <c r="E154" s="4" t="s">
        <v>4</v>
      </c>
      <c r="F154" s="64" t="s">
        <v>4</v>
      </c>
      <c r="G154" s="100"/>
      <c r="H154" s="80">
        <v>46093</v>
      </c>
    </row>
    <row r="155" spans="1:8" ht="15.75" x14ac:dyDescent="0.25">
      <c r="A155" s="5" t="s">
        <v>701</v>
      </c>
      <c r="B155" s="4" t="s">
        <v>148</v>
      </c>
      <c r="C155" s="4" t="s">
        <v>38</v>
      </c>
      <c r="D155" s="99">
        <v>320</v>
      </c>
      <c r="E155" s="4" t="s">
        <v>4</v>
      </c>
      <c r="F155" s="64" t="s">
        <v>4</v>
      </c>
      <c r="G155" s="100"/>
      <c r="H155" s="80">
        <v>46093</v>
      </c>
    </row>
    <row r="156" spans="1:8" ht="15.75" x14ac:dyDescent="0.25">
      <c r="A156" s="5" t="s">
        <v>702</v>
      </c>
      <c r="B156" s="4" t="s">
        <v>148</v>
      </c>
      <c r="C156" s="4" t="s">
        <v>38</v>
      </c>
      <c r="D156" s="99">
        <v>60</v>
      </c>
      <c r="E156" s="4" t="s">
        <v>4</v>
      </c>
      <c r="F156" s="64" t="s">
        <v>4</v>
      </c>
      <c r="G156" s="100"/>
      <c r="H156" s="80">
        <v>46093</v>
      </c>
    </row>
    <row r="157" spans="1:8" ht="15.75" x14ac:dyDescent="0.25">
      <c r="A157" s="5" t="s">
        <v>703</v>
      </c>
      <c r="B157" s="98" t="s">
        <v>148</v>
      </c>
      <c r="C157" s="4" t="s">
        <v>38</v>
      </c>
      <c r="D157" s="99">
        <v>66.3</v>
      </c>
      <c r="E157" s="4" t="s">
        <v>4</v>
      </c>
      <c r="F157" s="64" t="s">
        <v>4</v>
      </c>
      <c r="G157" s="100"/>
      <c r="H157" s="80">
        <v>46093</v>
      </c>
    </row>
    <row r="158" spans="1:8" ht="15.75" x14ac:dyDescent="0.25">
      <c r="A158" s="5" t="s">
        <v>704</v>
      </c>
      <c r="B158" s="4" t="s">
        <v>15</v>
      </c>
      <c r="C158" s="4" t="s">
        <v>15</v>
      </c>
      <c r="D158" s="99">
        <v>300</v>
      </c>
      <c r="E158" s="4" t="s">
        <v>4</v>
      </c>
      <c r="F158" s="64" t="s">
        <v>4</v>
      </c>
      <c r="G158" s="100"/>
      <c r="H158" s="80">
        <v>46094</v>
      </c>
    </row>
    <row r="159" spans="1:8" ht="15.75" x14ac:dyDescent="0.25">
      <c r="A159" s="5" t="s">
        <v>705</v>
      </c>
      <c r="B159" s="4" t="s">
        <v>15</v>
      </c>
      <c r="C159" s="4" t="s">
        <v>15</v>
      </c>
      <c r="D159" s="99">
        <v>150</v>
      </c>
      <c r="E159" s="4" t="s">
        <v>4</v>
      </c>
      <c r="F159" s="64" t="s">
        <v>4</v>
      </c>
      <c r="G159" s="100"/>
      <c r="H159" s="80">
        <v>46094</v>
      </c>
    </row>
    <row r="160" spans="1:8" ht="15.75" x14ac:dyDescent="0.25">
      <c r="A160" s="5" t="s">
        <v>706</v>
      </c>
      <c r="B160" s="4" t="s">
        <v>15</v>
      </c>
      <c r="C160" s="4" t="s">
        <v>15</v>
      </c>
      <c r="D160" s="99">
        <v>50</v>
      </c>
      <c r="E160" s="4" t="s">
        <v>4</v>
      </c>
      <c r="F160" s="64" t="s">
        <v>4</v>
      </c>
      <c r="G160" s="100"/>
      <c r="H160" s="80">
        <v>46094</v>
      </c>
    </row>
    <row r="161" spans="1:13" ht="15.75" x14ac:dyDescent="0.25">
      <c r="A161" s="5" t="s">
        <v>718</v>
      </c>
      <c r="B161" s="4" t="s">
        <v>15</v>
      </c>
      <c r="C161" s="4" t="s">
        <v>15</v>
      </c>
      <c r="D161" s="99">
        <v>750</v>
      </c>
      <c r="E161" s="4" t="s">
        <v>4</v>
      </c>
      <c r="F161" s="64" t="s">
        <v>4</v>
      </c>
      <c r="G161" s="23"/>
      <c r="H161" s="80">
        <v>46094</v>
      </c>
      <c r="L161" s="26"/>
      <c r="M161" s="26"/>
    </row>
    <row r="162" spans="1:13" ht="15.75" x14ac:dyDescent="0.25">
      <c r="A162" s="5" t="s">
        <v>707</v>
      </c>
      <c r="B162" s="4" t="s">
        <v>15</v>
      </c>
      <c r="C162" s="4" t="s">
        <v>15</v>
      </c>
      <c r="D162" s="99">
        <v>150</v>
      </c>
      <c r="E162" s="4" t="s">
        <v>4</v>
      </c>
      <c r="F162" s="64" t="s">
        <v>4</v>
      </c>
      <c r="G162" s="23"/>
      <c r="H162" s="80">
        <v>46094</v>
      </c>
      <c r="M162" s="26"/>
    </row>
    <row r="163" spans="1:13" ht="15.75" x14ac:dyDescent="0.25">
      <c r="A163" s="5" t="s">
        <v>708</v>
      </c>
      <c r="B163" s="4" t="s">
        <v>15</v>
      </c>
      <c r="C163" s="4" t="s">
        <v>15</v>
      </c>
      <c r="D163" s="99">
        <v>600</v>
      </c>
      <c r="E163" s="4" t="s">
        <v>4</v>
      </c>
      <c r="F163" s="64" t="s">
        <v>4</v>
      </c>
      <c r="G163" s="23"/>
      <c r="H163" s="80">
        <v>46094</v>
      </c>
    </row>
    <row r="164" spans="1:13" ht="15.75" x14ac:dyDescent="0.25">
      <c r="A164" s="5" t="s">
        <v>709</v>
      </c>
      <c r="B164" s="4" t="s">
        <v>15</v>
      </c>
      <c r="C164" s="4" t="s">
        <v>15</v>
      </c>
      <c r="D164" s="12">
        <v>450</v>
      </c>
      <c r="E164" s="4" t="s">
        <v>4</v>
      </c>
      <c r="F164" s="64" t="s">
        <v>4</v>
      </c>
      <c r="G164" s="23"/>
      <c r="H164" s="80">
        <v>46094</v>
      </c>
    </row>
    <row r="165" spans="1:13" ht="15.75" x14ac:dyDescent="0.25">
      <c r="A165" s="5" t="s">
        <v>710</v>
      </c>
      <c r="B165" s="4" t="s">
        <v>15</v>
      </c>
      <c r="C165" s="4" t="s">
        <v>15</v>
      </c>
      <c r="D165" s="99">
        <v>400</v>
      </c>
      <c r="E165" s="4" t="s">
        <v>4</v>
      </c>
      <c r="F165" s="64" t="s">
        <v>4</v>
      </c>
      <c r="G165" s="23"/>
      <c r="H165" s="80">
        <v>46094</v>
      </c>
    </row>
    <row r="166" spans="1:13" ht="15.75" x14ac:dyDescent="0.25">
      <c r="A166" s="5" t="s">
        <v>717</v>
      </c>
      <c r="B166" s="4" t="s">
        <v>15</v>
      </c>
      <c r="C166" s="4" t="s">
        <v>15</v>
      </c>
      <c r="D166" s="99">
        <v>300</v>
      </c>
      <c r="E166" s="4" t="s">
        <v>4</v>
      </c>
      <c r="F166" s="64" t="s">
        <v>4</v>
      </c>
      <c r="G166" s="23"/>
      <c r="H166" s="80">
        <v>46094</v>
      </c>
    </row>
    <row r="167" spans="1:13" ht="15.75" x14ac:dyDescent="0.25">
      <c r="A167" s="5" t="s">
        <v>196</v>
      </c>
      <c r="B167" s="4" t="s">
        <v>149</v>
      </c>
      <c r="C167" s="4" t="s">
        <v>39</v>
      </c>
      <c r="D167" s="13">
        <v>713.64</v>
      </c>
      <c r="E167" s="4" t="s">
        <v>4</v>
      </c>
      <c r="F167" s="64" t="s">
        <v>4</v>
      </c>
      <c r="G167" s="53" t="s">
        <v>101</v>
      </c>
      <c r="H167" s="80">
        <v>46094</v>
      </c>
    </row>
    <row r="168" spans="1:13" ht="15.75" x14ac:dyDescent="0.25">
      <c r="A168" s="5" t="s">
        <v>70</v>
      </c>
      <c r="B168" s="4" t="s">
        <v>148</v>
      </c>
      <c r="C168" s="4" t="s">
        <v>38</v>
      </c>
      <c r="D168" s="86">
        <v>13638.29</v>
      </c>
      <c r="E168" s="4" t="s">
        <v>4</v>
      </c>
      <c r="F168" s="64" t="s">
        <v>4</v>
      </c>
      <c r="G168" s="53" t="s">
        <v>101</v>
      </c>
      <c r="H168" s="80">
        <v>46094</v>
      </c>
    </row>
    <row r="169" spans="1:13" ht="15.75" x14ac:dyDescent="0.25">
      <c r="A169" s="5" t="s">
        <v>675</v>
      </c>
      <c r="B169" s="4" t="s">
        <v>84</v>
      </c>
      <c r="C169" s="4" t="s">
        <v>84</v>
      </c>
      <c r="D169" s="86">
        <v>140.63</v>
      </c>
      <c r="E169" s="4" t="s">
        <v>4</v>
      </c>
      <c r="F169" s="64" t="s">
        <v>4</v>
      </c>
      <c r="G169" s="53"/>
      <c r="H169" s="80">
        <v>46094</v>
      </c>
    </row>
    <row r="170" spans="1:13" ht="15.75" x14ac:dyDescent="0.25">
      <c r="A170" s="5" t="s">
        <v>712</v>
      </c>
      <c r="B170" s="4" t="s">
        <v>15</v>
      </c>
      <c r="C170" s="4" t="s">
        <v>15</v>
      </c>
      <c r="D170" s="86">
        <v>1725.48</v>
      </c>
      <c r="E170" s="4" t="s">
        <v>4</v>
      </c>
      <c r="F170" s="64" t="s">
        <v>4</v>
      </c>
      <c r="G170" s="53"/>
      <c r="H170" s="80">
        <v>46094</v>
      </c>
    </row>
    <row r="171" spans="1:13" ht="15.75" x14ac:dyDescent="0.25">
      <c r="A171" s="5" t="s">
        <v>711</v>
      </c>
      <c r="B171" s="4" t="s">
        <v>15</v>
      </c>
      <c r="C171" s="4" t="s">
        <v>15</v>
      </c>
      <c r="D171" s="99">
        <v>1470</v>
      </c>
      <c r="E171" s="4" t="s">
        <v>4</v>
      </c>
      <c r="F171" s="64" t="s">
        <v>4</v>
      </c>
      <c r="G171" s="100"/>
      <c r="H171" s="80">
        <v>46094</v>
      </c>
    </row>
    <row r="172" spans="1:13" ht="15.75" x14ac:dyDescent="0.25">
      <c r="A172" s="5" t="s">
        <v>86</v>
      </c>
      <c r="B172" s="4" t="s">
        <v>148</v>
      </c>
      <c r="C172" s="4" t="s">
        <v>38</v>
      </c>
      <c r="D172" s="99">
        <v>130</v>
      </c>
      <c r="E172" s="4" t="s">
        <v>4</v>
      </c>
      <c r="F172" s="64" t="s">
        <v>4</v>
      </c>
      <c r="G172" s="53"/>
      <c r="H172" s="80">
        <v>46094</v>
      </c>
    </row>
    <row r="173" spans="1:13" ht="15.75" x14ac:dyDescent="0.25">
      <c r="A173" s="5" t="s">
        <v>719</v>
      </c>
      <c r="B173" s="4" t="s">
        <v>148</v>
      </c>
      <c r="C173" s="4" t="s">
        <v>38</v>
      </c>
      <c r="D173" s="99">
        <v>160</v>
      </c>
      <c r="E173" s="4" t="s">
        <v>4</v>
      </c>
      <c r="F173" s="64" t="s">
        <v>4</v>
      </c>
      <c r="G173" s="23"/>
      <c r="H173" s="80">
        <v>46094</v>
      </c>
    </row>
    <row r="174" spans="1:13" ht="15.75" x14ac:dyDescent="0.25">
      <c r="A174" s="5" t="s">
        <v>721</v>
      </c>
      <c r="B174" s="4" t="s">
        <v>148</v>
      </c>
      <c r="C174" s="4" t="s">
        <v>38</v>
      </c>
      <c r="D174" s="103">
        <v>24.99</v>
      </c>
      <c r="E174" s="4" t="s">
        <v>4</v>
      </c>
      <c r="F174" s="64" t="s">
        <v>4</v>
      </c>
      <c r="G174" s="23"/>
      <c r="H174" s="80">
        <v>46094</v>
      </c>
    </row>
    <row r="175" spans="1:13" ht="15.75" x14ac:dyDescent="0.25">
      <c r="A175" s="5" t="s">
        <v>720</v>
      </c>
      <c r="B175" s="4" t="s">
        <v>135</v>
      </c>
      <c r="C175" s="4" t="s">
        <v>39</v>
      </c>
      <c r="D175" s="99">
        <v>236.2</v>
      </c>
      <c r="E175" s="4" t="s">
        <v>4</v>
      </c>
      <c r="F175" s="64" t="s">
        <v>4</v>
      </c>
      <c r="G175" s="100"/>
      <c r="H175" s="80">
        <v>46094</v>
      </c>
    </row>
    <row r="176" spans="1:13" ht="15.75" x14ac:dyDescent="0.25">
      <c r="A176" s="5" t="s">
        <v>485</v>
      </c>
      <c r="B176" s="4" t="s">
        <v>148</v>
      </c>
      <c r="C176" s="4" t="s">
        <v>38</v>
      </c>
      <c r="D176" s="12">
        <v>250</v>
      </c>
      <c r="E176" s="4" t="s">
        <v>4</v>
      </c>
      <c r="F176" s="64" t="s">
        <v>4</v>
      </c>
      <c r="G176" s="53"/>
      <c r="H176" s="85">
        <v>46097</v>
      </c>
    </row>
    <row r="177" spans="1:15" ht="15.75" x14ac:dyDescent="0.25">
      <c r="A177" s="5" t="s">
        <v>726</v>
      </c>
      <c r="B177" s="4" t="s">
        <v>141</v>
      </c>
      <c r="C177" s="4" t="s">
        <v>39</v>
      </c>
      <c r="D177" s="13">
        <v>1622.91</v>
      </c>
      <c r="E177" s="4" t="s">
        <v>4</v>
      </c>
      <c r="F177" s="64" t="s">
        <v>4</v>
      </c>
      <c r="G177" s="53" t="s">
        <v>100</v>
      </c>
      <c r="H177" s="85">
        <v>46097</v>
      </c>
    </row>
    <row r="178" spans="1:15" ht="15.75" x14ac:dyDescent="0.25">
      <c r="A178" s="5" t="s">
        <v>727</v>
      </c>
      <c r="B178" s="4" t="s">
        <v>141</v>
      </c>
      <c r="C178" s="4" t="s">
        <v>39</v>
      </c>
      <c r="D178" s="13">
        <v>861.75</v>
      </c>
      <c r="E178" s="4" t="s">
        <v>4</v>
      </c>
      <c r="F178" s="64" t="s">
        <v>4</v>
      </c>
      <c r="G178" s="53" t="s">
        <v>93</v>
      </c>
      <c r="H178" s="85">
        <v>46097</v>
      </c>
    </row>
    <row r="179" spans="1:15" ht="15.75" x14ac:dyDescent="0.25">
      <c r="A179" s="5" t="s">
        <v>728</v>
      </c>
      <c r="B179" s="4" t="s">
        <v>141</v>
      </c>
      <c r="C179" s="4" t="s">
        <v>39</v>
      </c>
      <c r="D179" s="13">
        <v>902.72</v>
      </c>
      <c r="E179" s="4" t="s">
        <v>4</v>
      </c>
      <c r="F179" s="64" t="s">
        <v>4</v>
      </c>
      <c r="G179" s="53" t="s">
        <v>97</v>
      </c>
      <c r="H179" s="85">
        <v>46097</v>
      </c>
      <c r="K179" s="76"/>
      <c r="L179" s="77"/>
      <c r="M179" s="76"/>
      <c r="N179" s="76"/>
      <c r="O179" s="76"/>
    </row>
    <row r="180" spans="1:15" ht="15.75" x14ac:dyDescent="0.25">
      <c r="A180" s="5" t="s">
        <v>722</v>
      </c>
      <c r="B180" s="4" t="s">
        <v>84</v>
      </c>
      <c r="C180" s="4" t="s">
        <v>84</v>
      </c>
      <c r="D180" s="33">
        <v>100.61</v>
      </c>
      <c r="E180" s="4" t="s">
        <v>4</v>
      </c>
      <c r="F180" s="64" t="s">
        <v>4</v>
      </c>
      <c r="G180" s="104"/>
      <c r="H180" s="85">
        <v>46097</v>
      </c>
      <c r="K180" s="76"/>
      <c r="L180" s="76"/>
      <c r="M180" s="76"/>
      <c r="N180" s="76"/>
      <c r="O180" s="76"/>
    </row>
    <row r="181" spans="1:15" ht="15.75" x14ac:dyDescent="0.25">
      <c r="A181" s="5" t="s">
        <v>723</v>
      </c>
      <c r="B181" s="4" t="s">
        <v>148</v>
      </c>
      <c r="C181" s="4" t="s">
        <v>38</v>
      </c>
      <c r="D181" s="33">
        <v>180</v>
      </c>
      <c r="E181" s="4" t="s">
        <v>4</v>
      </c>
      <c r="F181" s="64" t="s">
        <v>4</v>
      </c>
      <c r="G181" s="104"/>
      <c r="H181" s="85">
        <v>46097</v>
      </c>
      <c r="K181" s="76"/>
      <c r="L181" s="76"/>
      <c r="M181" s="76"/>
      <c r="N181" s="76"/>
      <c r="O181" s="76"/>
    </row>
    <row r="182" spans="1:15" ht="15.75" x14ac:dyDescent="0.25">
      <c r="A182" s="5" t="s">
        <v>31</v>
      </c>
      <c r="B182" s="4" t="s">
        <v>148</v>
      </c>
      <c r="C182" s="4" t="s">
        <v>38</v>
      </c>
      <c r="D182" s="33">
        <v>791.37</v>
      </c>
      <c r="E182" s="4" t="s">
        <v>4</v>
      </c>
      <c r="F182" s="64" t="s">
        <v>4</v>
      </c>
      <c r="G182" s="104"/>
      <c r="H182" s="85">
        <v>46097</v>
      </c>
      <c r="K182" s="76"/>
      <c r="L182" s="76"/>
      <c r="M182" s="76"/>
      <c r="N182" s="76"/>
      <c r="O182" s="76"/>
    </row>
    <row r="183" spans="1:15" ht="15.75" x14ac:dyDescent="0.25">
      <c r="A183" s="5" t="s">
        <v>191</v>
      </c>
      <c r="B183" s="4" t="s">
        <v>133</v>
      </c>
      <c r="C183" s="4" t="s">
        <v>38</v>
      </c>
      <c r="D183" s="46">
        <v>448.1</v>
      </c>
      <c r="E183" s="4" t="s">
        <v>4</v>
      </c>
      <c r="F183" s="64" t="s">
        <v>4</v>
      </c>
      <c r="G183" s="53" t="s">
        <v>100</v>
      </c>
      <c r="H183" s="85">
        <v>46097</v>
      </c>
      <c r="K183" s="76"/>
      <c r="L183" s="76"/>
      <c r="M183" s="76"/>
      <c r="N183" s="76"/>
      <c r="O183" s="76"/>
    </row>
    <row r="184" spans="1:15" ht="15.75" x14ac:dyDescent="0.25">
      <c r="A184" s="5" t="s">
        <v>29</v>
      </c>
      <c r="B184" s="4" t="s">
        <v>148</v>
      </c>
      <c r="C184" s="4" t="s">
        <v>38</v>
      </c>
      <c r="D184" s="13">
        <v>147.56</v>
      </c>
      <c r="E184" s="4" t="s">
        <v>4</v>
      </c>
      <c r="F184" s="64" t="s">
        <v>4</v>
      </c>
      <c r="G184" s="53" t="s">
        <v>100</v>
      </c>
      <c r="H184" s="85">
        <v>46097</v>
      </c>
      <c r="K184" s="76"/>
      <c r="L184" s="76"/>
      <c r="M184" s="76"/>
      <c r="N184" s="76"/>
      <c r="O184" s="76"/>
    </row>
    <row r="185" spans="1:15" ht="15.75" x14ac:dyDescent="0.25">
      <c r="A185" s="5" t="s">
        <v>234</v>
      </c>
      <c r="B185" s="4" t="s">
        <v>136</v>
      </c>
      <c r="C185" s="4" t="s">
        <v>39</v>
      </c>
      <c r="D185" s="33">
        <v>192.18</v>
      </c>
      <c r="E185" s="4" t="s">
        <v>4</v>
      </c>
      <c r="F185" s="64" t="s">
        <v>4</v>
      </c>
      <c r="G185" s="104"/>
      <c r="H185" s="85">
        <v>46097</v>
      </c>
      <c r="K185" s="76"/>
      <c r="L185" s="76"/>
      <c r="M185" s="76"/>
      <c r="N185" s="76"/>
      <c r="O185" s="76"/>
    </row>
    <row r="186" spans="1:15" ht="15.75" x14ac:dyDescent="0.25">
      <c r="A186" s="5" t="s">
        <v>73</v>
      </c>
      <c r="B186" s="4" t="s">
        <v>149</v>
      </c>
      <c r="C186" s="4" t="s">
        <v>38</v>
      </c>
      <c r="D186" s="43">
        <v>229</v>
      </c>
      <c r="E186" s="4" t="s">
        <v>4</v>
      </c>
      <c r="F186" s="64" t="s">
        <v>4</v>
      </c>
      <c r="G186" s="53" t="s">
        <v>103</v>
      </c>
      <c r="H186" s="85">
        <v>46097</v>
      </c>
      <c r="K186" s="76"/>
      <c r="L186" s="76"/>
      <c r="M186" s="76"/>
      <c r="N186" s="76"/>
      <c r="O186" s="76"/>
    </row>
    <row r="187" spans="1:15" ht="15.75" x14ac:dyDescent="0.25">
      <c r="A187" s="5" t="s">
        <v>227</v>
      </c>
      <c r="B187" s="4" t="s">
        <v>152</v>
      </c>
      <c r="C187" s="4" t="s">
        <v>38</v>
      </c>
      <c r="D187" s="41">
        <v>1024.71</v>
      </c>
      <c r="E187" s="4" t="s">
        <v>4</v>
      </c>
      <c r="F187" s="64" t="s">
        <v>4</v>
      </c>
      <c r="G187" s="53" t="s">
        <v>103</v>
      </c>
      <c r="H187" s="85">
        <v>46097</v>
      </c>
      <c r="K187" s="76"/>
      <c r="L187" s="76"/>
      <c r="M187" s="76"/>
      <c r="N187" s="76"/>
      <c r="O187" s="76"/>
    </row>
    <row r="188" spans="1:15" ht="15.75" x14ac:dyDescent="0.25">
      <c r="A188" s="5" t="s">
        <v>161</v>
      </c>
      <c r="B188" s="4" t="s">
        <v>148</v>
      </c>
      <c r="C188" s="4" t="s">
        <v>38</v>
      </c>
      <c r="D188" s="12">
        <v>690.99</v>
      </c>
      <c r="E188" s="4" t="s">
        <v>4</v>
      </c>
      <c r="F188" s="64" t="s">
        <v>4</v>
      </c>
      <c r="G188" s="84"/>
      <c r="H188" s="85">
        <v>46097</v>
      </c>
      <c r="K188" s="76"/>
      <c r="L188" s="76"/>
      <c r="M188" s="76"/>
      <c r="N188" s="76"/>
      <c r="O188" s="76"/>
    </row>
    <row r="189" spans="1:15" ht="15.75" x14ac:dyDescent="0.25">
      <c r="A189" s="5" t="s">
        <v>215</v>
      </c>
      <c r="B189" s="4" t="s">
        <v>152</v>
      </c>
      <c r="C189" s="4" t="s">
        <v>38</v>
      </c>
      <c r="D189" s="12">
        <v>147.56</v>
      </c>
      <c r="E189" s="4" t="s">
        <v>4</v>
      </c>
      <c r="F189" s="64" t="s">
        <v>4</v>
      </c>
      <c r="G189" s="53" t="s">
        <v>103</v>
      </c>
      <c r="H189" s="85">
        <v>46097</v>
      </c>
      <c r="K189" s="76"/>
      <c r="L189" s="76"/>
      <c r="M189" s="76"/>
      <c r="N189" s="76"/>
      <c r="O189" s="76"/>
    </row>
    <row r="190" spans="1:15" ht="15.75" x14ac:dyDescent="0.25">
      <c r="A190" s="5" t="s">
        <v>32</v>
      </c>
      <c r="B190" s="4" t="s">
        <v>133</v>
      </c>
      <c r="C190" s="4" t="s">
        <v>38</v>
      </c>
      <c r="D190" s="12">
        <v>623.28</v>
      </c>
      <c r="E190" s="4" t="s">
        <v>4</v>
      </c>
      <c r="F190" s="64" t="s">
        <v>4</v>
      </c>
      <c r="G190" s="53" t="s">
        <v>100</v>
      </c>
      <c r="H190" s="85">
        <v>46097</v>
      </c>
      <c r="K190" s="76"/>
      <c r="L190" s="76"/>
      <c r="M190" s="76"/>
      <c r="N190" s="76"/>
      <c r="O190" s="76"/>
    </row>
    <row r="191" spans="1:15" ht="15.75" x14ac:dyDescent="0.25">
      <c r="A191" s="5" t="s">
        <v>43</v>
      </c>
      <c r="B191" s="4" t="s">
        <v>148</v>
      </c>
      <c r="C191" s="4" t="s">
        <v>38</v>
      </c>
      <c r="D191" s="86">
        <v>87.61</v>
      </c>
      <c r="E191" s="4" t="s">
        <v>4</v>
      </c>
      <c r="F191" s="64" t="s">
        <v>4</v>
      </c>
      <c r="G191" s="53" t="s">
        <v>546</v>
      </c>
      <c r="H191" s="85">
        <v>46097</v>
      </c>
      <c r="K191" s="76"/>
      <c r="L191" s="76"/>
      <c r="M191" s="76"/>
      <c r="N191" s="76"/>
      <c r="O191" s="76"/>
    </row>
    <row r="192" spans="1:15" ht="15.75" x14ac:dyDescent="0.25">
      <c r="A192" s="5" t="s">
        <v>36</v>
      </c>
      <c r="B192" s="4" t="s">
        <v>134</v>
      </c>
      <c r="C192" s="4" t="s">
        <v>38</v>
      </c>
      <c r="D192" s="46">
        <v>119.9</v>
      </c>
      <c r="E192" s="4" t="s">
        <v>4</v>
      </c>
      <c r="F192" s="64" t="s">
        <v>4</v>
      </c>
      <c r="G192" s="53" t="s">
        <v>102</v>
      </c>
      <c r="H192" s="85">
        <v>46097</v>
      </c>
    </row>
    <row r="193" spans="1:13" ht="15.75" x14ac:dyDescent="0.25">
      <c r="A193" s="5" t="s">
        <v>88</v>
      </c>
      <c r="B193" s="4" t="s">
        <v>136</v>
      </c>
      <c r="C193" s="4" t="s">
        <v>39</v>
      </c>
      <c r="D193" s="33">
        <v>200.04</v>
      </c>
      <c r="E193" s="4" t="s">
        <v>4</v>
      </c>
      <c r="F193" s="64" t="s">
        <v>4</v>
      </c>
      <c r="G193" s="67"/>
      <c r="H193" s="85">
        <v>46097</v>
      </c>
    </row>
    <row r="194" spans="1:13" ht="15.75" x14ac:dyDescent="0.25">
      <c r="A194" s="5" t="s">
        <v>114</v>
      </c>
      <c r="B194" s="4" t="s">
        <v>148</v>
      </c>
      <c r="C194" s="4" t="s">
        <v>38</v>
      </c>
      <c r="D194" s="63">
        <v>386.32</v>
      </c>
      <c r="E194" s="4" t="s">
        <v>4</v>
      </c>
      <c r="F194" s="64" t="s">
        <v>4</v>
      </c>
      <c r="G194" s="53" t="s">
        <v>102</v>
      </c>
      <c r="H194" s="85">
        <v>46097</v>
      </c>
    </row>
    <row r="195" spans="1:13" ht="15.75" x14ac:dyDescent="0.25">
      <c r="A195" s="5" t="s">
        <v>562</v>
      </c>
      <c r="B195" s="4" t="s">
        <v>148</v>
      </c>
      <c r="C195" s="4" t="s">
        <v>38</v>
      </c>
      <c r="D195" s="86">
        <v>100</v>
      </c>
      <c r="E195" s="4" t="s">
        <v>4</v>
      </c>
      <c r="F195" s="64" t="s">
        <v>4</v>
      </c>
      <c r="G195" s="104"/>
      <c r="H195" s="85">
        <v>46097</v>
      </c>
      <c r="J195" s="26"/>
    </row>
    <row r="196" spans="1:13" ht="15.75" x14ac:dyDescent="0.25">
      <c r="A196" s="5" t="s">
        <v>540</v>
      </c>
      <c r="B196" s="4" t="s">
        <v>148</v>
      </c>
      <c r="C196" s="4" t="s">
        <v>38</v>
      </c>
      <c r="D196" s="86">
        <v>120</v>
      </c>
      <c r="E196" s="4" t="s">
        <v>4</v>
      </c>
      <c r="F196" s="64" t="s">
        <v>4</v>
      </c>
      <c r="G196" s="84"/>
      <c r="H196" s="85">
        <v>46097</v>
      </c>
    </row>
    <row r="197" spans="1:13" ht="15.75" x14ac:dyDescent="0.25">
      <c r="A197" s="5" t="s">
        <v>79</v>
      </c>
      <c r="B197" s="4" t="s">
        <v>84</v>
      </c>
      <c r="C197" s="4" t="s">
        <v>84</v>
      </c>
      <c r="D197" s="13">
        <v>3793.08</v>
      </c>
      <c r="E197" s="4" t="s">
        <v>4</v>
      </c>
      <c r="F197" s="64" t="s">
        <v>4</v>
      </c>
      <c r="G197" s="53" t="s">
        <v>96</v>
      </c>
      <c r="H197" s="85">
        <v>46097</v>
      </c>
    </row>
    <row r="198" spans="1:13" ht="15.75" x14ac:dyDescent="0.25">
      <c r="A198" s="5" t="s">
        <v>80</v>
      </c>
      <c r="B198" s="4" t="s">
        <v>84</v>
      </c>
      <c r="C198" s="4" t="s">
        <v>84</v>
      </c>
      <c r="D198" s="13">
        <v>3793.08</v>
      </c>
      <c r="E198" s="4" t="s">
        <v>4</v>
      </c>
      <c r="F198" s="64" t="s">
        <v>4</v>
      </c>
      <c r="G198" s="53" t="s">
        <v>96</v>
      </c>
      <c r="H198" s="85">
        <v>46097</v>
      </c>
    </row>
    <row r="199" spans="1:13" ht="15.75" x14ac:dyDescent="0.25">
      <c r="A199" s="5" t="s">
        <v>315</v>
      </c>
      <c r="B199" s="4" t="s">
        <v>84</v>
      </c>
      <c r="C199" s="4" t="s">
        <v>84</v>
      </c>
      <c r="D199" s="12">
        <v>13702.41</v>
      </c>
      <c r="E199" s="4" t="s">
        <v>4</v>
      </c>
      <c r="F199" s="64" t="s">
        <v>4</v>
      </c>
      <c r="G199" s="53" t="s">
        <v>96</v>
      </c>
      <c r="H199" s="85">
        <v>46097</v>
      </c>
    </row>
    <row r="200" spans="1:13" ht="15.75" x14ac:dyDescent="0.25">
      <c r="A200" s="5" t="s">
        <v>316</v>
      </c>
      <c r="B200" s="4" t="s">
        <v>84</v>
      </c>
      <c r="C200" s="4" t="s">
        <v>84</v>
      </c>
      <c r="D200" s="12">
        <v>13673.85</v>
      </c>
      <c r="E200" s="4" t="s">
        <v>4</v>
      </c>
      <c r="F200" s="64" t="s">
        <v>4</v>
      </c>
      <c r="G200" s="53" t="s">
        <v>96</v>
      </c>
      <c r="H200" s="85">
        <v>46097</v>
      </c>
    </row>
    <row r="201" spans="1:13" ht="15.75" x14ac:dyDescent="0.25">
      <c r="A201" s="5" t="s">
        <v>729</v>
      </c>
      <c r="B201" s="4" t="s">
        <v>148</v>
      </c>
      <c r="C201" s="4" t="s">
        <v>38</v>
      </c>
      <c r="D201" s="12">
        <v>500</v>
      </c>
      <c r="E201" s="4" t="s">
        <v>4</v>
      </c>
      <c r="F201" s="64" t="s">
        <v>4</v>
      </c>
      <c r="G201" s="84"/>
      <c r="H201" s="85">
        <v>46097</v>
      </c>
    </row>
    <row r="202" spans="1:13" ht="15.75" x14ac:dyDescent="0.25">
      <c r="A202" s="5" t="s">
        <v>343</v>
      </c>
      <c r="B202" s="4" t="s">
        <v>148</v>
      </c>
      <c r="C202" s="4" t="s">
        <v>38</v>
      </c>
      <c r="D202" s="86">
        <v>150</v>
      </c>
      <c r="E202" s="4" t="s">
        <v>4</v>
      </c>
      <c r="F202" s="64" t="s">
        <v>4</v>
      </c>
      <c r="G202" s="84"/>
      <c r="H202" s="85">
        <v>46097</v>
      </c>
    </row>
    <row r="203" spans="1:13" ht="15.75" x14ac:dyDescent="0.25">
      <c r="A203" s="5" t="s">
        <v>204</v>
      </c>
      <c r="B203" s="4" t="s">
        <v>148</v>
      </c>
      <c r="C203" s="4" t="s">
        <v>38</v>
      </c>
      <c r="D203" s="52">
        <v>3000</v>
      </c>
      <c r="E203" s="4" t="s">
        <v>4</v>
      </c>
      <c r="F203" s="64" t="s">
        <v>4</v>
      </c>
      <c r="G203" s="53" t="s">
        <v>102</v>
      </c>
      <c r="H203" s="85">
        <v>46097</v>
      </c>
    </row>
    <row r="204" spans="1:13" ht="15.75" x14ac:dyDescent="0.25">
      <c r="A204" s="5" t="s">
        <v>730</v>
      </c>
      <c r="B204" s="4" t="s">
        <v>15</v>
      </c>
      <c r="C204" s="4" t="s">
        <v>15</v>
      </c>
      <c r="D204" s="33">
        <v>4771.32</v>
      </c>
      <c r="E204" s="4" t="s">
        <v>4</v>
      </c>
      <c r="F204" s="64" t="s">
        <v>4</v>
      </c>
      <c r="G204" s="106"/>
      <c r="H204" s="107">
        <v>46098</v>
      </c>
    </row>
    <row r="205" spans="1:13" ht="15.75" x14ac:dyDescent="0.25">
      <c r="A205" s="5" t="s">
        <v>731</v>
      </c>
      <c r="B205" s="4" t="s">
        <v>84</v>
      </c>
      <c r="C205" s="4" t="s">
        <v>84</v>
      </c>
      <c r="D205" s="33">
        <v>966.7</v>
      </c>
      <c r="E205" s="4" t="s">
        <v>4</v>
      </c>
      <c r="F205" s="64" t="s">
        <v>4</v>
      </c>
      <c r="G205" s="106"/>
      <c r="H205" s="107">
        <v>46098</v>
      </c>
    </row>
    <row r="206" spans="1:13" ht="15.75" x14ac:dyDescent="0.25">
      <c r="A206" s="5" t="s">
        <v>736</v>
      </c>
      <c r="B206" s="4" t="s">
        <v>84</v>
      </c>
      <c r="C206" s="4" t="s">
        <v>84</v>
      </c>
      <c r="D206" s="33">
        <v>148.81</v>
      </c>
      <c r="E206" s="4" t="s">
        <v>4</v>
      </c>
      <c r="F206" s="64" t="s">
        <v>4</v>
      </c>
      <c r="G206" s="23"/>
      <c r="H206" s="107">
        <v>46098</v>
      </c>
      <c r="M206" s="26"/>
    </row>
    <row r="207" spans="1:13" ht="15.75" x14ac:dyDescent="0.25">
      <c r="A207" s="5" t="s">
        <v>732</v>
      </c>
      <c r="B207" s="4" t="s">
        <v>15</v>
      </c>
      <c r="C207" s="4" t="s">
        <v>15</v>
      </c>
      <c r="D207" s="33">
        <v>30</v>
      </c>
      <c r="E207" s="4" t="s">
        <v>4</v>
      </c>
      <c r="F207" s="64" t="s">
        <v>4</v>
      </c>
      <c r="G207" s="106"/>
      <c r="H207" s="107">
        <v>46098</v>
      </c>
    </row>
    <row r="208" spans="1:13" ht="15.75" x14ac:dyDescent="0.25">
      <c r="A208" s="5" t="s">
        <v>733</v>
      </c>
      <c r="B208" s="4" t="s">
        <v>15</v>
      </c>
      <c r="C208" s="4" t="s">
        <v>15</v>
      </c>
      <c r="D208" s="33">
        <v>1170.21</v>
      </c>
      <c r="E208" s="4" t="s">
        <v>4</v>
      </c>
      <c r="F208" s="64" t="s">
        <v>4</v>
      </c>
      <c r="G208" s="106"/>
      <c r="H208" s="107">
        <v>46098</v>
      </c>
    </row>
    <row r="209" spans="1:8" ht="15.75" x14ac:dyDescent="0.25">
      <c r="A209" s="5" t="s">
        <v>734</v>
      </c>
      <c r="B209" s="4" t="s">
        <v>15</v>
      </c>
      <c r="C209" s="4" t="s">
        <v>15</v>
      </c>
      <c r="D209" s="33">
        <v>33.33</v>
      </c>
      <c r="E209" s="4" t="s">
        <v>4</v>
      </c>
      <c r="F209" s="64" t="s">
        <v>4</v>
      </c>
      <c r="G209" s="106"/>
      <c r="H209" s="107">
        <v>46098</v>
      </c>
    </row>
    <row r="210" spans="1:8" ht="15.75" x14ac:dyDescent="0.25">
      <c r="A210" s="5" t="s">
        <v>753</v>
      </c>
      <c r="B210" s="4" t="s">
        <v>15</v>
      </c>
      <c r="C210" s="4" t="s">
        <v>15</v>
      </c>
      <c r="D210" s="33">
        <v>603.33000000000004</v>
      </c>
      <c r="E210" s="4" t="s">
        <v>4</v>
      </c>
      <c r="F210" s="64" t="s">
        <v>4</v>
      </c>
      <c r="G210" s="106"/>
      <c r="H210" s="107">
        <v>46098</v>
      </c>
    </row>
    <row r="211" spans="1:8" ht="15.75" x14ac:dyDescent="0.25">
      <c r="A211" s="5" t="s">
        <v>737</v>
      </c>
      <c r="B211" s="4" t="s">
        <v>148</v>
      </c>
      <c r="C211" s="4" t="s">
        <v>38</v>
      </c>
      <c r="D211" s="33">
        <v>11.5</v>
      </c>
      <c r="E211" s="4" t="s">
        <v>4</v>
      </c>
      <c r="F211" s="64" t="s">
        <v>4</v>
      </c>
      <c r="G211" s="106"/>
      <c r="H211" s="107">
        <v>46098</v>
      </c>
    </row>
    <row r="212" spans="1:8" ht="15.75" x14ac:dyDescent="0.25">
      <c r="A212" s="5" t="s">
        <v>132</v>
      </c>
      <c r="B212" s="4" t="s">
        <v>136</v>
      </c>
      <c r="C212" s="4" t="s">
        <v>39</v>
      </c>
      <c r="D212" s="33">
        <v>1343.3</v>
      </c>
      <c r="E212" s="4" t="s">
        <v>4</v>
      </c>
      <c r="F212" s="64" t="s">
        <v>4</v>
      </c>
      <c r="G212" s="106"/>
      <c r="H212" s="107">
        <v>46098</v>
      </c>
    </row>
    <row r="213" spans="1:8" ht="15.75" x14ac:dyDescent="0.25">
      <c r="A213" s="5" t="s">
        <v>738</v>
      </c>
      <c r="B213" s="4" t="s">
        <v>148</v>
      </c>
      <c r="C213" s="4" t="s">
        <v>38</v>
      </c>
      <c r="D213" s="33">
        <v>200</v>
      </c>
      <c r="E213" s="4" t="s">
        <v>4</v>
      </c>
      <c r="F213" s="64" t="s">
        <v>4</v>
      </c>
      <c r="G213" s="106"/>
      <c r="H213" s="107">
        <v>46099</v>
      </c>
    </row>
    <row r="214" spans="1:8" ht="15.75" x14ac:dyDescent="0.25">
      <c r="A214" s="5" t="s">
        <v>739</v>
      </c>
      <c r="B214" s="4" t="s">
        <v>148</v>
      </c>
      <c r="C214" s="4" t="s">
        <v>38</v>
      </c>
      <c r="D214" s="33">
        <v>35</v>
      </c>
      <c r="E214" s="4" t="s">
        <v>4</v>
      </c>
      <c r="F214" s="64" t="s">
        <v>4</v>
      </c>
      <c r="G214" s="106"/>
      <c r="H214" s="107">
        <v>46099</v>
      </c>
    </row>
    <row r="215" spans="1:8" ht="15.75" x14ac:dyDescent="0.25">
      <c r="A215" s="5" t="s">
        <v>42</v>
      </c>
      <c r="B215" s="4" t="s">
        <v>148</v>
      </c>
      <c r="C215" s="4" t="s">
        <v>38</v>
      </c>
      <c r="D215" s="12">
        <v>200</v>
      </c>
      <c r="E215" s="4" t="s">
        <v>4</v>
      </c>
      <c r="F215" s="64" t="s">
        <v>4</v>
      </c>
      <c r="G215" s="84"/>
      <c r="H215" s="85">
        <v>46099</v>
      </c>
    </row>
    <row r="216" spans="1:8" ht="15.75" x14ac:dyDescent="0.25">
      <c r="A216" s="5" t="s">
        <v>207</v>
      </c>
      <c r="B216" s="4" t="s">
        <v>148</v>
      </c>
      <c r="C216" s="4" t="s">
        <v>38</v>
      </c>
      <c r="D216" s="86">
        <v>30</v>
      </c>
      <c r="E216" s="4" t="s">
        <v>4</v>
      </c>
      <c r="F216" s="64" t="s">
        <v>4</v>
      </c>
      <c r="G216" s="23" t="s">
        <v>103</v>
      </c>
      <c r="H216" s="107">
        <v>46099</v>
      </c>
    </row>
    <row r="217" spans="1:8" ht="15.75" x14ac:dyDescent="0.25">
      <c r="A217" s="5" t="s">
        <v>740</v>
      </c>
      <c r="B217" s="4"/>
      <c r="C217" s="105"/>
      <c r="D217" s="97">
        <v>-561.44000000000005</v>
      </c>
      <c r="E217" s="105"/>
      <c r="F217" s="64" t="s">
        <v>4</v>
      </c>
      <c r="G217" s="106"/>
      <c r="H217" s="107"/>
    </row>
    <row r="218" spans="1:8" ht="15.75" x14ac:dyDescent="0.25">
      <c r="A218" s="5" t="s">
        <v>751</v>
      </c>
      <c r="B218" s="4" t="s">
        <v>148</v>
      </c>
      <c r="C218" s="4" t="s">
        <v>38</v>
      </c>
      <c r="D218" s="33">
        <v>8</v>
      </c>
      <c r="E218" s="4" t="s">
        <v>4</v>
      </c>
      <c r="F218" s="64" t="s">
        <v>4</v>
      </c>
      <c r="G218" s="106"/>
      <c r="H218" s="107">
        <v>46100</v>
      </c>
    </row>
    <row r="219" spans="1:8" ht="15.75" x14ac:dyDescent="0.25">
      <c r="A219" s="5" t="s">
        <v>752</v>
      </c>
      <c r="B219" s="4" t="s">
        <v>148</v>
      </c>
      <c r="C219" s="4" t="s">
        <v>38</v>
      </c>
      <c r="D219" s="33">
        <v>8</v>
      </c>
      <c r="E219" s="4" t="s">
        <v>4</v>
      </c>
      <c r="F219" s="64" t="s">
        <v>4</v>
      </c>
      <c r="G219" s="106"/>
      <c r="H219" s="107">
        <v>46100</v>
      </c>
    </row>
    <row r="220" spans="1:8" ht="15.75" x14ac:dyDescent="0.25">
      <c r="A220" s="5" t="s">
        <v>735</v>
      </c>
      <c r="B220" s="4" t="s">
        <v>15</v>
      </c>
      <c r="C220" s="4" t="s">
        <v>15</v>
      </c>
      <c r="D220" s="33">
        <v>183.33</v>
      </c>
      <c r="E220" s="4" t="s">
        <v>4</v>
      </c>
      <c r="F220" s="64" t="s">
        <v>4</v>
      </c>
      <c r="G220" s="106"/>
      <c r="H220" s="107">
        <v>46100</v>
      </c>
    </row>
    <row r="221" spans="1:8" ht="15.75" x14ac:dyDescent="0.25">
      <c r="A221" s="5" t="s">
        <v>405</v>
      </c>
      <c r="B221" s="4" t="s">
        <v>148</v>
      </c>
      <c r="C221" s="4" t="s">
        <v>38</v>
      </c>
      <c r="D221" s="33">
        <v>58.3</v>
      </c>
      <c r="E221" s="4" t="s">
        <v>4</v>
      </c>
      <c r="F221" s="64" t="s">
        <v>4</v>
      </c>
      <c r="G221" s="106"/>
      <c r="H221" s="107">
        <v>46100</v>
      </c>
    </row>
    <row r="222" spans="1:8" ht="15.75" x14ac:dyDescent="0.25">
      <c r="A222" s="5" t="s">
        <v>192</v>
      </c>
      <c r="B222" s="4" t="s">
        <v>138</v>
      </c>
      <c r="C222" s="4" t="s">
        <v>39</v>
      </c>
      <c r="D222" s="12">
        <v>351.26</v>
      </c>
      <c r="E222" s="44" t="s">
        <v>4</v>
      </c>
      <c r="F222" s="64" t="s">
        <v>4</v>
      </c>
      <c r="G222" s="53" t="s">
        <v>96</v>
      </c>
      <c r="H222" s="55">
        <v>46101</v>
      </c>
    </row>
    <row r="223" spans="1:8" ht="15.75" x14ac:dyDescent="0.25">
      <c r="A223" s="5" t="s">
        <v>754</v>
      </c>
      <c r="B223" s="4" t="s">
        <v>148</v>
      </c>
      <c r="C223" s="4" t="s">
        <v>38</v>
      </c>
      <c r="D223" s="33">
        <v>17.5</v>
      </c>
      <c r="E223" s="44" t="s">
        <v>4</v>
      </c>
      <c r="F223" s="64" t="s">
        <v>4</v>
      </c>
      <c r="G223" s="23"/>
      <c r="H223" s="55">
        <v>46101</v>
      </c>
    </row>
    <row r="224" spans="1:8" ht="15.75" x14ac:dyDescent="0.25">
      <c r="A224" s="5" t="s">
        <v>755</v>
      </c>
      <c r="B224" s="4" t="s">
        <v>148</v>
      </c>
      <c r="C224" s="4" t="s">
        <v>38</v>
      </c>
      <c r="D224" s="33">
        <v>25</v>
      </c>
      <c r="E224" s="44" t="s">
        <v>4</v>
      </c>
      <c r="F224" s="64" t="s">
        <v>4</v>
      </c>
      <c r="G224" s="23"/>
      <c r="H224" s="55">
        <v>46101</v>
      </c>
    </row>
    <row r="225" spans="1:8" ht="15.75" x14ac:dyDescent="0.25">
      <c r="A225" s="5" t="s">
        <v>756</v>
      </c>
      <c r="B225" s="4" t="s">
        <v>15</v>
      </c>
      <c r="C225" s="4" t="s">
        <v>15</v>
      </c>
      <c r="D225" s="33">
        <v>4750</v>
      </c>
      <c r="E225" s="44" t="s">
        <v>4</v>
      </c>
      <c r="F225" s="64" t="s">
        <v>4</v>
      </c>
      <c r="G225" s="23"/>
      <c r="H225" s="55">
        <v>46101</v>
      </c>
    </row>
    <row r="226" spans="1:8" ht="15.75" x14ac:dyDescent="0.25">
      <c r="A226" s="5" t="s">
        <v>757</v>
      </c>
      <c r="B226" s="4" t="s">
        <v>148</v>
      </c>
      <c r="C226" s="4" t="s">
        <v>38</v>
      </c>
      <c r="D226" s="33">
        <v>720</v>
      </c>
      <c r="E226" s="44" t="s">
        <v>4</v>
      </c>
      <c r="F226" s="64" t="s">
        <v>4</v>
      </c>
      <c r="G226" s="23"/>
      <c r="H226" s="55">
        <v>46101</v>
      </c>
    </row>
    <row r="227" spans="1:8" ht="15" customHeight="1" x14ac:dyDescent="0.25">
      <c r="A227" s="5" t="s">
        <v>758</v>
      </c>
      <c r="B227" s="4" t="s">
        <v>148</v>
      </c>
      <c r="C227" s="4" t="s">
        <v>38</v>
      </c>
      <c r="D227" s="33">
        <v>490</v>
      </c>
      <c r="E227" s="44" t="s">
        <v>4</v>
      </c>
      <c r="F227" s="64" t="s">
        <v>4</v>
      </c>
      <c r="G227" s="23"/>
      <c r="H227" s="55">
        <v>46101</v>
      </c>
    </row>
    <row r="228" spans="1:8" ht="15" customHeight="1" x14ac:dyDescent="0.25">
      <c r="A228" s="5" t="s">
        <v>759</v>
      </c>
      <c r="B228" s="4" t="s">
        <v>148</v>
      </c>
      <c r="C228" s="4" t="s">
        <v>38</v>
      </c>
      <c r="D228" s="33">
        <v>100</v>
      </c>
      <c r="E228" s="44" t="s">
        <v>4</v>
      </c>
      <c r="F228" s="64" t="s">
        <v>4</v>
      </c>
      <c r="G228" s="23"/>
      <c r="H228" s="55">
        <v>46101</v>
      </c>
    </row>
    <row r="229" spans="1:8" ht="15" customHeight="1" x14ac:dyDescent="0.25">
      <c r="A229" s="5" t="s">
        <v>760</v>
      </c>
      <c r="B229" s="4" t="s">
        <v>148</v>
      </c>
      <c r="C229" s="4" t="s">
        <v>38</v>
      </c>
      <c r="D229" s="33">
        <v>80</v>
      </c>
      <c r="E229" s="44" t="s">
        <v>4</v>
      </c>
      <c r="F229" s="64" t="s">
        <v>4</v>
      </c>
      <c r="G229" s="112"/>
      <c r="H229" s="55">
        <v>46101</v>
      </c>
    </row>
    <row r="230" spans="1:8" ht="15" customHeight="1" x14ac:dyDescent="0.25">
      <c r="A230" s="5" t="s">
        <v>761</v>
      </c>
      <c r="B230" s="4" t="s">
        <v>15</v>
      </c>
      <c r="C230" s="4" t="s">
        <v>15</v>
      </c>
      <c r="D230" s="33">
        <v>650</v>
      </c>
      <c r="E230" s="44" t="s">
        <v>4</v>
      </c>
      <c r="F230" s="64" t="s">
        <v>4</v>
      </c>
      <c r="G230" s="112"/>
      <c r="H230" s="55">
        <v>46101</v>
      </c>
    </row>
    <row r="231" spans="1:8" ht="15" customHeight="1" x14ac:dyDescent="0.25">
      <c r="A231" s="5" t="s">
        <v>704</v>
      </c>
      <c r="B231" s="4" t="s">
        <v>15</v>
      </c>
      <c r="C231" s="4" t="s">
        <v>15</v>
      </c>
      <c r="D231" s="33">
        <v>300</v>
      </c>
      <c r="E231" s="44" t="s">
        <v>4</v>
      </c>
      <c r="F231" s="64" t="s">
        <v>4</v>
      </c>
      <c r="G231" s="112"/>
      <c r="H231" s="55">
        <v>46101</v>
      </c>
    </row>
    <row r="232" spans="1:8" ht="15" customHeight="1" x14ac:dyDescent="0.25">
      <c r="A232" s="5" t="s">
        <v>762</v>
      </c>
      <c r="B232" s="4" t="s">
        <v>15</v>
      </c>
      <c r="C232" s="4" t="s">
        <v>15</v>
      </c>
      <c r="D232" s="33">
        <v>450</v>
      </c>
      <c r="E232" s="44" t="s">
        <v>4</v>
      </c>
      <c r="F232" s="64" t="s">
        <v>4</v>
      </c>
      <c r="G232" s="112"/>
      <c r="H232" s="55">
        <v>46101</v>
      </c>
    </row>
    <row r="233" spans="1:8" ht="15" customHeight="1" x14ac:dyDescent="0.25">
      <c r="A233" s="5" t="s">
        <v>718</v>
      </c>
      <c r="B233" s="4" t="s">
        <v>15</v>
      </c>
      <c r="C233" s="4" t="s">
        <v>15</v>
      </c>
      <c r="D233" s="33">
        <v>800</v>
      </c>
      <c r="E233" s="44" t="s">
        <v>4</v>
      </c>
      <c r="F233" s="64" t="s">
        <v>4</v>
      </c>
      <c r="G233" s="112"/>
      <c r="H233" s="55">
        <v>46101</v>
      </c>
    </row>
    <row r="234" spans="1:8" ht="15" customHeight="1" x14ac:dyDescent="0.25">
      <c r="A234" s="5" t="s">
        <v>388</v>
      </c>
      <c r="B234" s="4" t="s">
        <v>15</v>
      </c>
      <c r="C234" s="4" t="s">
        <v>15</v>
      </c>
      <c r="D234" s="33">
        <v>500</v>
      </c>
      <c r="E234" s="44" t="s">
        <v>4</v>
      </c>
      <c r="F234" s="64" t="s">
        <v>4</v>
      </c>
      <c r="G234" s="112"/>
      <c r="H234" s="55">
        <v>46101</v>
      </c>
    </row>
    <row r="235" spans="1:8" ht="15" customHeight="1" x14ac:dyDescent="0.25">
      <c r="A235" s="5" t="s">
        <v>763</v>
      </c>
      <c r="B235" s="4" t="s">
        <v>15</v>
      </c>
      <c r="C235" s="4" t="s">
        <v>15</v>
      </c>
      <c r="D235" s="33">
        <v>550</v>
      </c>
      <c r="E235" s="44" t="s">
        <v>4</v>
      </c>
      <c r="F235" s="64" t="s">
        <v>4</v>
      </c>
      <c r="G235" s="23"/>
      <c r="H235" s="55">
        <v>46101</v>
      </c>
    </row>
    <row r="236" spans="1:8" ht="15" customHeight="1" x14ac:dyDescent="0.25">
      <c r="A236" s="5" t="s">
        <v>764</v>
      </c>
      <c r="B236" s="4" t="s">
        <v>15</v>
      </c>
      <c r="C236" s="4" t="s">
        <v>15</v>
      </c>
      <c r="D236" s="33">
        <v>150</v>
      </c>
      <c r="E236" s="44" t="s">
        <v>4</v>
      </c>
      <c r="F236" s="64" t="s">
        <v>4</v>
      </c>
      <c r="G236" s="112"/>
      <c r="H236" s="55">
        <v>46101</v>
      </c>
    </row>
    <row r="237" spans="1:8" ht="15" customHeight="1" x14ac:dyDescent="0.25">
      <c r="A237" s="5" t="s">
        <v>765</v>
      </c>
      <c r="B237" s="4" t="s">
        <v>15</v>
      </c>
      <c r="C237" s="4" t="s">
        <v>15</v>
      </c>
      <c r="D237" s="33">
        <v>900</v>
      </c>
      <c r="E237" s="44" t="s">
        <v>4</v>
      </c>
      <c r="F237" s="64" t="s">
        <v>4</v>
      </c>
      <c r="G237" s="112"/>
      <c r="H237" s="55">
        <v>46101</v>
      </c>
    </row>
    <row r="238" spans="1:8" ht="15" customHeight="1" x14ac:dyDescent="0.25">
      <c r="A238" s="5" t="s">
        <v>766</v>
      </c>
      <c r="B238" s="4" t="s">
        <v>15</v>
      </c>
      <c r="C238" s="4" t="s">
        <v>15</v>
      </c>
      <c r="D238" s="33">
        <v>500</v>
      </c>
      <c r="E238" s="44" t="s">
        <v>4</v>
      </c>
      <c r="F238" s="64" t="s">
        <v>4</v>
      </c>
      <c r="G238" s="112"/>
      <c r="H238" s="55">
        <v>46101</v>
      </c>
    </row>
    <row r="239" spans="1:8" ht="15" customHeight="1" x14ac:dyDescent="0.25">
      <c r="A239" s="5" t="s">
        <v>767</v>
      </c>
      <c r="B239" s="4" t="s">
        <v>15</v>
      </c>
      <c r="C239" s="4" t="s">
        <v>15</v>
      </c>
      <c r="D239" s="33">
        <v>550</v>
      </c>
      <c r="E239" s="44" t="s">
        <v>4</v>
      </c>
      <c r="F239" s="64" t="s">
        <v>4</v>
      </c>
      <c r="G239" s="23"/>
      <c r="H239" s="55">
        <v>46101</v>
      </c>
    </row>
    <row r="240" spans="1:8" ht="15" customHeight="1" x14ac:dyDescent="0.25">
      <c r="A240" s="5" t="s">
        <v>709</v>
      </c>
      <c r="B240" s="4" t="s">
        <v>15</v>
      </c>
      <c r="C240" s="4" t="s">
        <v>15</v>
      </c>
      <c r="D240" s="33">
        <v>450</v>
      </c>
      <c r="E240" s="44" t="s">
        <v>4</v>
      </c>
      <c r="F240" s="64" t="s">
        <v>4</v>
      </c>
      <c r="G240" s="112"/>
      <c r="H240" s="55">
        <v>46101</v>
      </c>
    </row>
    <row r="241" spans="1:13" ht="15" customHeight="1" x14ac:dyDescent="0.25">
      <c r="A241" s="5" t="s">
        <v>768</v>
      </c>
      <c r="B241" s="4" t="s">
        <v>15</v>
      </c>
      <c r="C241" s="4" t="s">
        <v>15</v>
      </c>
      <c r="D241" s="33">
        <v>600</v>
      </c>
      <c r="E241" s="44" t="s">
        <v>4</v>
      </c>
      <c r="F241" s="64" t="s">
        <v>4</v>
      </c>
      <c r="G241" s="112"/>
      <c r="H241" s="55">
        <v>46101</v>
      </c>
    </row>
    <row r="242" spans="1:13" ht="15" customHeight="1" x14ac:dyDescent="0.25">
      <c r="A242" s="5" t="s">
        <v>769</v>
      </c>
      <c r="B242" s="4" t="s">
        <v>15</v>
      </c>
      <c r="C242" s="4" t="s">
        <v>15</v>
      </c>
      <c r="D242" s="33">
        <v>300</v>
      </c>
      <c r="E242" s="44" t="s">
        <v>4</v>
      </c>
      <c r="F242" s="64" t="s">
        <v>4</v>
      </c>
      <c r="G242" s="112"/>
      <c r="H242" s="55">
        <v>46101</v>
      </c>
    </row>
    <row r="243" spans="1:13" ht="15.75" x14ac:dyDescent="0.25">
      <c r="A243" s="5" t="s">
        <v>770</v>
      </c>
      <c r="B243" s="4" t="s">
        <v>148</v>
      </c>
      <c r="C243" s="4" t="s">
        <v>38</v>
      </c>
      <c r="D243" s="33">
        <v>140</v>
      </c>
      <c r="E243" s="44" t="s">
        <v>4</v>
      </c>
      <c r="F243" s="64" t="s">
        <v>4</v>
      </c>
      <c r="G243" s="112"/>
      <c r="H243" s="55">
        <v>46101</v>
      </c>
      <c r="M243" s="26"/>
    </row>
    <row r="244" spans="1:13" ht="15.75" x14ac:dyDescent="0.25">
      <c r="A244" s="5" t="s">
        <v>193</v>
      </c>
      <c r="B244" s="4" t="s">
        <v>148</v>
      </c>
      <c r="C244" s="4" t="s">
        <v>38</v>
      </c>
      <c r="D244" s="33">
        <v>130</v>
      </c>
      <c r="E244" s="4" t="s">
        <v>4</v>
      </c>
      <c r="F244" s="64" t="s">
        <v>4</v>
      </c>
      <c r="G244" s="112"/>
      <c r="H244" s="113">
        <v>46101</v>
      </c>
    </row>
    <row r="245" spans="1:13" ht="15.75" x14ac:dyDescent="0.25">
      <c r="A245" s="5" t="s">
        <v>771</v>
      </c>
      <c r="B245" s="4" t="s">
        <v>148</v>
      </c>
      <c r="C245" s="4" t="s">
        <v>38</v>
      </c>
      <c r="D245" s="33">
        <v>35</v>
      </c>
      <c r="E245" s="4" t="s">
        <v>4</v>
      </c>
      <c r="F245" s="64" t="s">
        <v>4</v>
      </c>
      <c r="G245" s="112"/>
      <c r="H245" s="113">
        <v>46101</v>
      </c>
      <c r="M245" s="26"/>
    </row>
    <row r="246" spans="1:13" ht="15.75" x14ac:dyDescent="0.25">
      <c r="A246" s="5" t="s">
        <v>82</v>
      </c>
      <c r="B246" s="4" t="s">
        <v>148</v>
      </c>
      <c r="C246" s="4" t="s">
        <v>38</v>
      </c>
      <c r="D246" s="13">
        <v>46.25</v>
      </c>
      <c r="E246" s="4" t="s">
        <v>4</v>
      </c>
      <c r="F246" s="64" t="s">
        <v>4</v>
      </c>
      <c r="G246" s="53" t="s">
        <v>90</v>
      </c>
      <c r="H246" s="55">
        <v>46104</v>
      </c>
      <c r="M246" s="26"/>
    </row>
    <row r="247" spans="1:13" ht="15.75" x14ac:dyDescent="0.25">
      <c r="A247" s="5" t="s">
        <v>772</v>
      </c>
      <c r="B247" s="4" t="s">
        <v>148</v>
      </c>
      <c r="C247" s="4" t="s">
        <v>38</v>
      </c>
      <c r="D247" s="12">
        <v>104.87</v>
      </c>
      <c r="E247" s="4" t="s">
        <v>4</v>
      </c>
      <c r="F247" s="64" t="s">
        <v>4</v>
      </c>
      <c r="G247" s="53" t="s">
        <v>90</v>
      </c>
      <c r="H247" s="55">
        <v>46104</v>
      </c>
    </row>
    <row r="248" spans="1:13" ht="15.75" x14ac:dyDescent="0.25">
      <c r="A248" s="5" t="s">
        <v>775</v>
      </c>
      <c r="B248" s="4" t="s">
        <v>148</v>
      </c>
      <c r="C248" s="4" t="s">
        <v>38</v>
      </c>
      <c r="D248" s="12">
        <v>104.87</v>
      </c>
      <c r="E248" s="4" t="s">
        <v>4</v>
      </c>
      <c r="F248" s="64" t="s">
        <v>4</v>
      </c>
      <c r="G248" s="53" t="s">
        <v>90</v>
      </c>
      <c r="H248" s="55">
        <v>46104</v>
      </c>
    </row>
    <row r="249" spans="1:13" ht="15.75" x14ac:dyDescent="0.25">
      <c r="A249" s="5" t="s">
        <v>774</v>
      </c>
      <c r="B249" s="4" t="s">
        <v>148</v>
      </c>
      <c r="C249" s="4" t="s">
        <v>38</v>
      </c>
      <c r="D249" s="12">
        <v>104.87</v>
      </c>
      <c r="E249" s="4" t="s">
        <v>4</v>
      </c>
      <c r="F249" s="64" t="s">
        <v>4</v>
      </c>
      <c r="G249" s="53" t="s">
        <v>90</v>
      </c>
      <c r="H249" s="55">
        <v>46104</v>
      </c>
    </row>
    <row r="250" spans="1:13" ht="15.75" x14ac:dyDescent="0.25">
      <c r="A250" s="5" t="s">
        <v>773</v>
      </c>
      <c r="B250" s="4" t="s">
        <v>148</v>
      </c>
      <c r="C250" s="4" t="s">
        <v>38</v>
      </c>
      <c r="D250" s="12">
        <v>104.87</v>
      </c>
      <c r="E250" s="4" t="s">
        <v>4</v>
      </c>
      <c r="F250" s="64" t="s">
        <v>4</v>
      </c>
      <c r="G250" s="53" t="s">
        <v>90</v>
      </c>
      <c r="H250" s="55">
        <v>46104</v>
      </c>
    </row>
    <row r="251" spans="1:13" ht="15.75" x14ac:dyDescent="0.25">
      <c r="A251" s="5" t="s">
        <v>777</v>
      </c>
      <c r="B251" s="4" t="s">
        <v>148</v>
      </c>
      <c r="C251" s="4" t="s">
        <v>38</v>
      </c>
      <c r="D251" s="33">
        <v>62.99</v>
      </c>
      <c r="E251" s="4" t="s">
        <v>4</v>
      </c>
      <c r="F251" s="64" t="s">
        <v>4</v>
      </c>
      <c r="G251" s="112"/>
      <c r="H251" s="55">
        <v>46104</v>
      </c>
    </row>
    <row r="252" spans="1:13" ht="15.75" x14ac:dyDescent="0.25">
      <c r="A252" s="5" t="s">
        <v>562</v>
      </c>
      <c r="B252" s="4" t="s">
        <v>148</v>
      </c>
      <c r="C252" s="4" t="s">
        <v>38</v>
      </c>
      <c r="D252" s="86">
        <v>100</v>
      </c>
      <c r="E252" s="4" t="s">
        <v>4</v>
      </c>
      <c r="F252" s="64" t="s">
        <v>4</v>
      </c>
      <c r="G252" s="84"/>
      <c r="H252" s="55">
        <v>46104</v>
      </c>
    </row>
    <row r="253" spans="1:13" ht="15.75" x14ac:dyDescent="0.25">
      <c r="A253" s="5" t="s">
        <v>776</v>
      </c>
      <c r="B253" s="4" t="s">
        <v>148</v>
      </c>
      <c r="C253" s="4" t="s">
        <v>38</v>
      </c>
      <c r="D253" s="33">
        <v>152</v>
      </c>
      <c r="E253" s="4" t="s">
        <v>4</v>
      </c>
      <c r="F253" s="64" t="s">
        <v>4</v>
      </c>
      <c r="G253" s="112"/>
      <c r="H253" s="55">
        <v>46104</v>
      </c>
    </row>
    <row r="254" spans="1:13" ht="15.75" x14ac:dyDescent="0.25">
      <c r="A254" s="5" t="s">
        <v>343</v>
      </c>
      <c r="B254" s="4" t="s">
        <v>148</v>
      </c>
      <c r="C254" s="4" t="s">
        <v>38</v>
      </c>
      <c r="D254" s="33">
        <v>150</v>
      </c>
      <c r="E254" s="4" t="s">
        <v>4</v>
      </c>
      <c r="F254" s="64" t="s">
        <v>4</v>
      </c>
      <c r="G254" s="112"/>
      <c r="H254" s="55">
        <v>46104</v>
      </c>
    </row>
    <row r="255" spans="1:13" ht="15.75" x14ac:dyDescent="0.25">
      <c r="A255" s="5" t="s">
        <v>740</v>
      </c>
      <c r="B255" s="4" t="s">
        <v>148</v>
      </c>
      <c r="C255" s="4" t="s">
        <v>38</v>
      </c>
      <c r="D255" s="97">
        <v>-150</v>
      </c>
      <c r="E255" s="114"/>
      <c r="F255" s="64" t="s">
        <v>4</v>
      </c>
      <c r="G255" s="112"/>
      <c r="H255" s="113"/>
    </row>
    <row r="256" spans="1:13" ht="15.75" x14ac:dyDescent="0.25">
      <c r="A256" s="5" t="s">
        <v>778</v>
      </c>
      <c r="B256" s="4" t="s">
        <v>148</v>
      </c>
      <c r="C256" s="4" t="s">
        <v>38</v>
      </c>
      <c r="D256" s="33">
        <v>13.99</v>
      </c>
      <c r="E256" s="4" t="s">
        <v>4</v>
      </c>
      <c r="F256" s="64" t="s">
        <v>4</v>
      </c>
      <c r="G256" s="112"/>
      <c r="H256" s="113">
        <v>45740</v>
      </c>
    </row>
    <row r="257" spans="1:12" ht="15.75" x14ac:dyDescent="0.25">
      <c r="A257" s="5" t="s">
        <v>540</v>
      </c>
      <c r="B257" s="4" t="s">
        <v>148</v>
      </c>
      <c r="C257" s="4" t="s">
        <v>38</v>
      </c>
      <c r="D257" s="86">
        <v>120</v>
      </c>
      <c r="E257" s="4" t="s">
        <v>4</v>
      </c>
      <c r="F257" s="64" t="s">
        <v>4</v>
      </c>
      <c r="G257" s="84"/>
      <c r="H257" s="113">
        <v>45740</v>
      </c>
    </row>
    <row r="258" spans="1:12" ht="15.75" x14ac:dyDescent="0.25">
      <c r="A258" s="5" t="s">
        <v>507</v>
      </c>
      <c r="B258" s="4" t="s">
        <v>15</v>
      </c>
      <c r="C258" s="4" t="s">
        <v>15</v>
      </c>
      <c r="D258" s="12">
        <v>257.5</v>
      </c>
      <c r="E258" s="4" t="s">
        <v>4</v>
      </c>
      <c r="F258" s="64" t="s">
        <v>4</v>
      </c>
      <c r="G258" s="84"/>
      <c r="H258" s="113">
        <v>45740</v>
      </c>
    </row>
    <row r="259" spans="1:12" ht="15.75" x14ac:dyDescent="0.25">
      <c r="A259" s="5" t="s">
        <v>566</v>
      </c>
      <c r="B259" s="4" t="s">
        <v>15</v>
      </c>
      <c r="C259" s="4" t="s">
        <v>15</v>
      </c>
      <c r="D259" s="13">
        <v>270</v>
      </c>
      <c r="E259" s="4" t="s">
        <v>4</v>
      </c>
      <c r="F259" s="64" t="s">
        <v>4</v>
      </c>
      <c r="G259" s="89"/>
      <c r="H259" s="113">
        <v>45740</v>
      </c>
    </row>
    <row r="260" spans="1:12" ht="15.75" x14ac:dyDescent="0.25">
      <c r="A260" s="5" t="s">
        <v>310</v>
      </c>
      <c r="B260" s="4" t="s">
        <v>15</v>
      </c>
      <c r="C260" s="4" t="s">
        <v>15</v>
      </c>
      <c r="D260" s="33">
        <v>270</v>
      </c>
      <c r="E260" s="4" t="s">
        <v>4</v>
      </c>
      <c r="F260" s="64" t="s">
        <v>4</v>
      </c>
      <c r="G260" s="112"/>
      <c r="H260" s="113">
        <v>45740</v>
      </c>
      <c r="L260" s="31"/>
    </row>
    <row r="261" spans="1:12" ht="15.75" x14ac:dyDescent="0.25">
      <c r="A261" s="5" t="s">
        <v>781</v>
      </c>
      <c r="B261" s="4" t="s">
        <v>15</v>
      </c>
      <c r="C261" s="4" t="s">
        <v>15</v>
      </c>
      <c r="D261" s="33">
        <v>116.67</v>
      </c>
      <c r="E261" s="4" t="s">
        <v>4</v>
      </c>
      <c r="F261" s="64" t="s">
        <v>4</v>
      </c>
      <c r="G261" s="112"/>
      <c r="H261" s="113">
        <v>45740</v>
      </c>
      <c r="L261" s="32"/>
    </row>
    <row r="262" spans="1:12" ht="15.75" x14ac:dyDescent="0.25">
      <c r="A262" s="5" t="s">
        <v>631</v>
      </c>
      <c r="B262" s="4" t="s">
        <v>148</v>
      </c>
      <c r="C262" s="4" t="s">
        <v>38</v>
      </c>
      <c r="D262" s="33">
        <v>19.48</v>
      </c>
      <c r="E262" s="4" t="s">
        <v>4</v>
      </c>
      <c r="F262" s="64" t="s">
        <v>4</v>
      </c>
      <c r="G262" s="112"/>
      <c r="H262" s="113">
        <v>46105</v>
      </c>
    </row>
    <row r="263" spans="1:12" ht="15.75" x14ac:dyDescent="0.25">
      <c r="A263" s="5" t="s">
        <v>220</v>
      </c>
      <c r="B263" s="4" t="s">
        <v>148</v>
      </c>
      <c r="C263" s="4" t="s">
        <v>38</v>
      </c>
      <c r="D263" s="33">
        <v>150</v>
      </c>
      <c r="E263" s="4" t="s">
        <v>4</v>
      </c>
      <c r="F263" s="64" t="s">
        <v>4</v>
      </c>
      <c r="G263" s="112"/>
      <c r="H263" s="113">
        <v>46105</v>
      </c>
    </row>
    <row r="264" spans="1:12" ht="15.75" x14ac:dyDescent="0.25">
      <c r="A264" s="5" t="s">
        <v>786</v>
      </c>
      <c r="B264" s="4" t="s">
        <v>148</v>
      </c>
      <c r="C264" s="4" t="s">
        <v>38</v>
      </c>
      <c r="D264" s="33">
        <v>300</v>
      </c>
      <c r="E264" s="4" t="s">
        <v>4</v>
      </c>
      <c r="F264" s="64" t="s">
        <v>4</v>
      </c>
      <c r="G264" s="112"/>
      <c r="H264" s="113">
        <v>46105</v>
      </c>
    </row>
    <row r="265" spans="1:12" ht="15.75" x14ac:dyDescent="0.25">
      <c r="A265" s="5" t="s">
        <v>42</v>
      </c>
      <c r="B265" s="4" t="s">
        <v>148</v>
      </c>
      <c r="C265" s="4" t="s">
        <v>38</v>
      </c>
      <c r="D265" s="12">
        <v>200</v>
      </c>
      <c r="E265" s="4" t="s">
        <v>4</v>
      </c>
      <c r="F265" s="64" t="s">
        <v>4</v>
      </c>
      <c r="G265" s="23"/>
      <c r="H265" s="11">
        <v>46106</v>
      </c>
    </row>
    <row r="266" spans="1:12" ht="15.75" x14ac:dyDescent="0.25">
      <c r="A266" s="5" t="s">
        <v>787</v>
      </c>
      <c r="B266" s="4" t="s">
        <v>148</v>
      </c>
      <c r="C266" s="4" t="s">
        <v>38</v>
      </c>
      <c r="D266" s="33">
        <v>120</v>
      </c>
      <c r="E266" s="4" t="s">
        <v>4</v>
      </c>
      <c r="F266" s="64" t="s">
        <v>4</v>
      </c>
      <c r="G266" s="112"/>
      <c r="H266" s="113">
        <v>46106</v>
      </c>
    </row>
    <row r="267" spans="1:12" ht="15.75" x14ac:dyDescent="0.25">
      <c r="A267" s="5" t="s">
        <v>788</v>
      </c>
      <c r="B267" s="4" t="s">
        <v>135</v>
      </c>
      <c r="C267" s="4" t="s">
        <v>39</v>
      </c>
      <c r="D267" s="33">
        <v>220</v>
      </c>
      <c r="E267" s="4" t="s">
        <v>4</v>
      </c>
      <c r="F267" s="64" t="s">
        <v>4</v>
      </c>
      <c r="G267" s="112"/>
      <c r="H267" s="113">
        <v>46107</v>
      </c>
    </row>
    <row r="268" spans="1:12" ht="15.75" x14ac:dyDescent="0.25">
      <c r="A268" s="5" t="s">
        <v>789</v>
      </c>
      <c r="B268" s="4" t="s">
        <v>148</v>
      </c>
      <c r="C268" s="4" t="s">
        <v>38</v>
      </c>
      <c r="D268" s="33">
        <v>116.7</v>
      </c>
      <c r="E268" s="4" t="s">
        <v>4</v>
      </c>
      <c r="F268" s="64" t="s">
        <v>4</v>
      </c>
      <c r="G268" s="112"/>
      <c r="H268" s="113">
        <v>46107</v>
      </c>
    </row>
    <row r="269" spans="1:12" ht="15.75" x14ac:dyDescent="0.25">
      <c r="A269" s="5" t="s">
        <v>193</v>
      </c>
      <c r="B269" s="4" t="s">
        <v>148</v>
      </c>
      <c r="C269" s="4" t="s">
        <v>38</v>
      </c>
      <c r="D269" s="12">
        <v>130</v>
      </c>
      <c r="E269" s="4" t="s">
        <v>4</v>
      </c>
      <c r="F269" s="64" t="s">
        <v>4</v>
      </c>
      <c r="G269" s="84"/>
      <c r="H269" s="80">
        <v>46108</v>
      </c>
    </row>
    <row r="270" spans="1:12" ht="15.75" x14ac:dyDescent="0.25">
      <c r="A270" s="5" t="s">
        <v>761</v>
      </c>
      <c r="B270" s="4" t="s">
        <v>15</v>
      </c>
      <c r="C270" s="4" t="s">
        <v>15</v>
      </c>
      <c r="D270" s="33">
        <v>800</v>
      </c>
      <c r="E270" s="4" t="s">
        <v>4</v>
      </c>
      <c r="F270" s="64" t="s">
        <v>4</v>
      </c>
      <c r="G270" s="115"/>
      <c r="H270" s="80">
        <v>46108</v>
      </c>
    </row>
    <row r="271" spans="1:12" ht="15.75" x14ac:dyDescent="0.25">
      <c r="A271" s="5" t="s">
        <v>792</v>
      </c>
      <c r="B271" s="4" t="s">
        <v>15</v>
      </c>
      <c r="C271" s="4" t="s">
        <v>15</v>
      </c>
      <c r="D271" s="33">
        <v>500</v>
      </c>
      <c r="E271" s="4" t="s">
        <v>4</v>
      </c>
      <c r="F271" s="64" t="s">
        <v>4</v>
      </c>
      <c r="G271" s="115"/>
      <c r="H271" s="80">
        <v>46108</v>
      </c>
    </row>
    <row r="272" spans="1:12" ht="15.75" x14ac:dyDescent="0.25">
      <c r="A272" s="5" t="s">
        <v>793</v>
      </c>
      <c r="B272" s="4" t="s">
        <v>15</v>
      </c>
      <c r="C272" s="4" t="s">
        <v>15</v>
      </c>
      <c r="D272" s="33">
        <v>550</v>
      </c>
      <c r="E272" s="4" t="s">
        <v>4</v>
      </c>
      <c r="F272" s="64" t="s">
        <v>4</v>
      </c>
      <c r="G272" s="115"/>
      <c r="H272" s="80">
        <v>46108</v>
      </c>
    </row>
    <row r="273" spans="1:11" ht="15.75" x14ac:dyDescent="0.25">
      <c r="A273" s="5" t="s">
        <v>794</v>
      </c>
      <c r="B273" s="4" t="s">
        <v>15</v>
      </c>
      <c r="C273" s="4" t="s">
        <v>15</v>
      </c>
      <c r="D273" s="33">
        <v>600</v>
      </c>
      <c r="E273" s="4" t="s">
        <v>4</v>
      </c>
      <c r="F273" s="64" t="s">
        <v>4</v>
      </c>
      <c r="G273" s="115"/>
      <c r="H273" s="80">
        <v>46108</v>
      </c>
    </row>
    <row r="274" spans="1:11" ht="15.75" x14ac:dyDescent="0.25">
      <c r="A274" s="5" t="s">
        <v>795</v>
      </c>
      <c r="B274" s="4" t="s">
        <v>15</v>
      </c>
      <c r="C274" s="4" t="s">
        <v>15</v>
      </c>
      <c r="D274" s="33">
        <v>500</v>
      </c>
      <c r="E274" s="4" t="s">
        <v>4</v>
      </c>
      <c r="F274" s="64" t="s">
        <v>4</v>
      </c>
      <c r="G274" s="115"/>
      <c r="H274" s="80">
        <v>46108</v>
      </c>
      <c r="K274" s="26"/>
    </row>
    <row r="275" spans="1:11" ht="15.75" x14ac:dyDescent="0.25">
      <c r="A275" s="5" t="s">
        <v>796</v>
      </c>
      <c r="B275" s="4" t="s">
        <v>15</v>
      </c>
      <c r="C275" s="4" t="s">
        <v>15</v>
      </c>
      <c r="D275" s="33">
        <v>600</v>
      </c>
      <c r="E275" s="4" t="s">
        <v>4</v>
      </c>
      <c r="F275" s="64" t="s">
        <v>4</v>
      </c>
      <c r="G275" s="115"/>
      <c r="H275" s="80">
        <v>46108</v>
      </c>
    </row>
    <row r="276" spans="1:11" ht="15.75" x14ac:dyDescent="0.25">
      <c r="A276" s="5" t="s">
        <v>797</v>
      </c>
      <c r="B276" s="4" t="s">
        <v>15</v>
      </c>
      <c r="C276" s="4" t="s">
        <v>15</v>
      </c>
      <c r="D276" s="33">
        <v>50</v>
      </c>
      <c r="E276" s="4" t="s">
        <v>4</v>
      </c>
      <c r="F276" s="64" t="s">
        <v>4</v>
      </c>
      <c r="G276" s="115"/>
      <c r="H276" s="80">
        <v>46108</v>
      </c>
    </row>
    <row r="277" spans="1:11" ht="15.75" x14ac:dyDescent="0.25">
      <c r="A277" s="5" t="s">
        <v>798</v>
      </c>
      <c r="B277" s="4" t="s">
        <v>15</v>
      </c>
      <c r="C277" s="4" t="s">
        <v>15</v>
      </c>
      <c r="D277" s="33">
        <v>200</v>
      </c>
      <c r="E277" s="4" t="s">
        <v>4</v>
      </c>
      <c r="F277" s="64" t="s">
        <v>4</v>
      </c>
      <c r="G277" s="115"/>
      <c r="H277" s="80">
        <v>46108</v>
      </c>
    </row>
    <row r="278" spans="1:11" ht="15.75" x14ac:dyDescent="0.25">
      <c r="A278" s="5" t="s">
        <v>799</v>
      </c>
      <c r="B278" s="4" t="s">
        <v>15</v>
      </c>
      <c r="C278" s="4" t="s">
        <v>15</v>
      </c>
      <c r="D278" s="33">
        <v>750</v>
      </c>
      <c r="E278" s="4" t="s">
        <v>4</v>
      </c>
      <c r="F278" s="64" t="s">
        <v>4</v>
      </c>
      <c r="G278" s="115"/>
      <c r="H278" s="80">
        <v>46108</v>
      </c>
    </row>
    <row r="279" spans="1:11" ht="15.75" x14ac:dyDescent="0.25">
      <c r="A279" s="5" t="s">
        <v>800</v>
      </c>
      <c r="B279" s="4" t="s">
        <v>15</v>
      </c>
      <c r="C279" s="4" t="s">
        <v>15</v>
      </c>
      <c r="D279" s="33">
        <v>750</v>
      </c>
      <c r="E279" s="4" t="s">
        <v>4</v>
      </c>
      <c r="F279" s="64" t="s">
        <v>4</v>
      </c>
      <c r="G279" s="115"/>
      <c r="H279" s="80">
        <v>46108</v>
      </c>
    </row>
    <row r="280" spans="1:11" ht="15.75" x14ac:dyDescent="0.25">
      <c r="A280" s="5" t="s">
        <v>801</v>
      </c>
      <c r="B280" s="4" t="s">
        <v>15</v>
      </c>
      <c r="C280" s="4" t="s">
        <v>15</v>
      </c>
      <c r="D280" s="33">
        <v>250</v>
      </c>
      <c r="E280" s="4" t="s">
        <v>4</v>
      </c>
      <c r="F280" s="64" t="s">
        <v>4</v>
      </c>
      <c r="G280" s="115"/>
      <c r="H280" s="80">
        <v>46108</v>
      </c>
    </row>
    <row r="281" spans="1:11" ht="15.75" x14ac:dyDescent="0.25">
      <c r="A281" s="5" t="s">
        <v>802</v>
      </c>
      <c r="B281" s="4" t="s">
        <v>15</v>
      </c>
      <c r="C281" s="4" t="s">
        <v>15</v>
      </c>
      <c r="D281" s="33">
        <v>300</v>
      </c>
      <c r="E281" s="4" t="s">
        <v>4</v>
      </c>
      <c r="F281" s="64" t="s">
        <v>4</v>
      </c>
      <c r="G281" s="115"/>
      <c r="H281" s="80">
        <v>46108</v>
      </c>
    </row>
    <row r="282" spans="1:11" ht="15.75" x14ac:dyDescent="0.25">
      <c r="A282" s="5" t="s">
        <v>710</v>
      </c>
      <c r="B282" s="4" t="s">
        <v>15</v>
      </c>
      <c r="C282" s="4" t="s">
        <v>15</v>
      </c>
      <c r="D282" s="33">
        <v>400</v>
      </c>
      <c r="E282" s="4" t="s">
        <v>4</v>
      </c>
      <c r="F282" s="64" t="s">
        <v>4</v>
      </c>
      <c r="G282" s="115"/>
      <c r="H282" s="80">
        <v>46108</v>
      </c>
    </row>
    <row r="283" spans="1:11" ht="15.75" x14ac:dyDescent="0.25">
      <c r="A283" s="5" t="s">
        <v>803</v>
      </c>
      <c r="B283" s="4" t="s">
        <v>15</v>
      </c>
      <c r="C283" s="4" t="s">
        <v>15</v>
      </c>
      <c r="D283" s="33">
        <v>150</v>
      </c>
      <c r="E283" s="4" t="s">
        <v>4</v>
      </c>
      <c r="F283" s="64" t="s">
        <v>4</v>
      </c>
      <c r="G283" s="115"/>
      <c r="H283" s="80">
        <v>46108</v>
      </c>
    </row>
    <row r="284" spans="1:11" ht="15.75" x14ac:dyDescent="0.25">
      <c r="A284" s="5" t="s">
        <v>804</v>
      </c>
      <c r="B284" s="4" t="s">
        <v>148</v>
      </c>
      <c r="C284" s="4" t="s">
        <v>38</v>
      </c>
      <c r="D284" s="33">
        <v>8</v>
      </c>
      <c r="E284" s="4" t="s">
        <v>4</v>
      </c>
      <c r="F284" s="64" t="s">
        <v>4</v>
      </c>
      <c r="G284" s="112"/>
      <c r="H284" s="80">
        <v>46108</v>
      </c>
    </row>
    <row r="285" spans="1:11" ht="15.75" x14ac:dyDescent="0.25">
      <c r="A285" s="5" t="s">
        <v>508</v>
      </c>
      <c r="B285" s="114"/>
      <c r="C285" s="114"/>
      <c r="D285" s="97">
        <v>-0.36</v>
      </c>
      <c r="E285" s="4" t="s">
        <v>4</v>
      </c>
      <c r="F285" s="64" t="s">
        <v>4</v>
      </c>
      <c r="G285" s="112"/>
      <c r="H285" s="113"/>
    </row>
    <row r="286" spans="1:11" ht="15.75" x14ac:dyDescent="0.25">
      <c r="A286" s="5" t="s">
        <v>805</v>
      </c>
      <c r="B286" s="4" t="s">
        <v>15</v>
      </c>
      <c r="C286" s="4" t="s">
        <v>15</v>
      </c>
      <c r="D286" s="33">
        <v>1062</v>
      </c>
      <c r="E286" s="4" t="s">
        <v>4</v>
      </c>
      <c r="F286" s="64" t="s">
        <v>4</v>
      </c>
      <c r="G286" s="23"/>
      <c r="H286" s="11">
        <v>46108</v>
      </c>
    </row>
    <row r="287" spans="1:11" ht="15.75" x14ac:dyDescent="0.25">
      <c r="A287" s="5" t="s">
        <v>769</v>
      </c>
      <c r="B287" s="4" t="s">
        <v>15</v>
      </c>
      <c r="C287" s="4" t="s">
        <v>15</v>
      </c>
      <c r="D287" s="33">
        <v>300</v>
      </c>
      <c r="E287" s="4" t="s">
        <v>4</v>
      </c>
      <c r="F287" s="64" t="s">
        <v>4</v>
      </c>
      <c r="G287" s="84"/>
      <c r="H287" s="11">
        <v>46111</v>
      </c>
    </row>
    <row r="288" spans="1:11" ht="15.75" x14ac:dyDescent="0.25">
      <c r="A288" s="5" t="s">
        <v>234</v>
      </c>
      <c r="B288" s="4" t="s">
        <v>136</v>
      </c>
      <c r="C288" s="4" t="s">
        <v>39</v>
      </c>
      <c r="D288" s="33">
        <v>349.26</v>
      </c>
      <c r="E288" s="4" t="s">
        <v>4</v>
      </c>
      <c r="F288" s="64" t="s">
        <v>4</v>
      </c>
      <c r="G288" s="119"/>
      <c r="H288" s="120">
        <v>46111</v>
      </c>
    </row>
    <row r="289" spans="1:15" ht="15.75" x14ac:dyDescent="0.25">
      <c r="A289" s="5" t="s">
        <v>540</v>
      </c>
      <c r="B289" s="4" t="s">
        <v>148</v>
      </c>
      <c r="C289" s="4" t="s">
        <v>38</v>
      </c>
      <c r="D289" s="33">
        <v>120</v>
      </c>
      <c r="E289" s="4" t="s">
        <v>4</v>
      </c>
      <c r="F289" s="64" t="s">
        <v>4</v>
      </c>
      <c r="G289" s="119"/>
      <c r="H289" s="120">
        <v>46111</v>
      </c>
    </row>
    <row r="290" spans="1:15" ht="15.75" x14ac:dyDescent="0.25">
      <c r="A290" s="5" t="s">
        <v>562</v>
      </c>
      <c r="B290" s="4" t="s">
        <v>148</v>
      </c>
      <c r="C290" s="4" t="s">
        <v>38</v>
      </c>
      <c r="D290" s="33">
        <v>100</v>
      </c>
      <c r="E290" s="4" t="s">
        <v>4</v>
      </c>
      <c r="F290" s="64" t="s">
        <v>4</v>
      </c>
      <c r="G290" s="119"/>
      <c r="H290" s="120">
        <v>46111</v>
      </c>
    </row>
    <row r="291" spans="1:15" ht="15.75" x14ac:dyDescent="0.25">
      <c r="A291" s="5" t="s">
        <v>343</v>
      </c>
      <c r="B291" s="4" t="s">
        <v>148</v>
      </c>
      <c r="C291" s="4" t="s">
        <v>38</v>
      </c>
      <c r="D291" s="33">
        <v>150</v>
      </c>
      <c r="E291" s="4" t="s">
        <v>4</v>
      </c>
      <c r="F291" s="64" t="s">
        <v>4</v>
      </c>
      <c r="G291" s="119"/>
      <c r="H291" s="120">
        <v>46111</v>
      </c>
    </row>
    <row r="292" spans="1:15" ht="15.75" x14ac:dyDescent="0.25">
      <c r="A292" s="5" t="s">
        <v>813</v>
      </c>
      <c r="B292" s="4" t="s">
        <v>148</v>
      </c>
      <c r="C292" s="4" t="s">
        <v>38</v>
      </c>
      <c r="D292" s="33">
        <v>139.9</v>
      </c>
      <c r="E292" s="4" t="s">
        <v>4</v>
      </c>
      <c r="F292" s="64" t="s">
        <v>4</v>
      </c>
      <c r="G292" s="119"/>
      <c r="H292" s="120">
        <v>46112</v>
      </c>
    </row>
    <row r="293" spans="1:15" ht="15.75" x14ac:dyDescent="0.25">
      <c r="A293" s="5" t="s">
        <v>815</v>
      </c>
      <c r="B293" s="4" t="s">
        <v>15</v>
      </c>
      <c r="C293" s="4" t="s">
        <v>15</v>
      </c>
      <c r="D293" s="33">
        <v>350</v>
      </c>
      <c r="E293" s="4" t="s">
        <v>4</v>
      </c>
      <c r="F293" s="64" t="s">
        <v>4</v>
      </c>
      <c r="G293" s="119"/>
      <c r="H293" s="120">
        <v>46112</v>
      </c>
    </row>
    <row r="294" spans="1:15" ht="15.75" x14ac:dyDescent="0.25">
      <c r="A294" s="5" t="s">
        <v>586</v>
      </c>
      <c r="B294" s="4" t="s">
        <v>15</v>
      </c>
      <c r="C294" s="4" t="s">
        <v>15</v>
      </c>
      <c r="D294" s="122">
        <v>250</v>
      </c>
      <c r="E294" s="4" t="s">
        <v>4</v>
      </c>
      <c r="F294" s="64" t="s">
        <v>4</v>
      </c>
      <c r="G294" s="119"/>
      <c r="H294" s="120">
        <v>46112</v>
      </c>
    </row>
    <row r="295" spans="1:15" ht="15.75" x14ac:dyDescent="0.25">
      <c r="A295" s="5" t="s">
        <v>814</v>
      </c>
      <c r="B295" s="4" t="s">
        <v>15</v>
      </c>
      <c r="C295" s="4" t="s">
        <v>15</v>
      </c>
      <c r="D295" s="122">
        <v>250</v>
      </c>
      <c r="E295" s="4" t="s">
        <v>378</v>
      </c>
      <c r="F295" s="64" t="s">
        <v>4</v>
      </c>
      <c r="G295" s="119"/>
      <c r="H295" s="120">
        <v>46112</v>
      </c>
    </row>
    <row r="296" spans="1:15" ht="15.75" x14ac:dyDescent="0.25">
      <c r="A296" s="5" t="s">
        <v>816</v>
      </c>
      <c r="B296" s="4" t="s">
        <v>15</v>
      </c>
      <c r="C296" s="4" t="s">
        <v>15</v>
      </c>
      <c r="D296" s="121">
        <v>250</v>
      </c>
      <c r="E296" s="4" t="s">
        <v>4</v>
      </c>
      <c r="F296" s="64" t="s">
        <v>4</v>
      </c>
      <c r="G296" s="119"/>
      <c r="H296" s="120">
        <v>46112</v>
      </c>
    </row>
    <row r="297" spans="1:15" ht="15.75" x14ac:dyDescent="0.25">
      <c r="A297" s="5" t="s">
        <v>821</v>
      </c>
      <c r="B297" s="4" t="s">
        <v>15</v>
      </c>
      <c r="C297" s="4" t="s">
        <v>15</v>
      </c>
      <c r="D297" s="13">
        <v>50</v>
      </c>
      <c r="E297" s="4" t="s">
        <v>4</v>
      </c>
      <c r="F297" s="64" t="s">
        <v>4</v>
      </c>
      <c r="G297" s="89"/>
      <c r="H297" s="120">
        <v>46112</v>
      </c>
      <c r="O297" s="31"/>
    </row>
    <row r="298" spans="1:15" ht="15.75" x14ac:dyDescent="0.25">
      <c r="A298" s="5" t="s">
        <v>806</v>
      </c>
      <c r="B298" s="4" t="s">
        <v>15</v>
      </c>
      <c r="C298" s="4" t="s">
        <v>15</v>
      </c>
      <c r="D298" s="12">
        <v>125</v>
      </c>
      <c r="E298" s="4" t="s">
        <v>4</v>
      </c>
      <c r="F298" s="64" t="s">
        <v>4</v>
      </c>
      <c r="G298" s="23"/>
      <c r="H298" s="120">
        <v>46112</v>
      </c>
    </row>
    <row r="299" spans="1:15" ht="15.75" x14ac:dyDescent="0.25">
      <c r="A299" s="5" t="s">
        <v>807</v>
      </c>
      <c r="B299" s="4" t="s">
        <v>15</v>
      </c>
      <c r="C299" s="4" t="s">
        <v>15</v>
      </c>
      <c r="D299" s="12">
        <v>125</v>
      </c>
      <c r="E299" s="4" t="s">
        <v>4</v>
      </c>
      <c r="F299" s="64" t="s">
        <v>115</v>
      </c>
      <c r="G299" s="23"/>
      <c r="H299" s="120">
        <v>46112</v>
      </c>
    </row>
    <row r="300" spans="1:15" ht="15.75" x14ac:dyDescent="0.25">
      <c r="A300" s="5" t="s">
        <v>808</v>
      </c>
      <c r="B300" s="4" t="s">
        <v>15</v>
      </c>
      <c r="C300" s="4" t="s">
        <v>15</v>
      </c>
      <c r="D300" s="121">
        <v>125</v>
      </c>
      <c r="E300" s="4" t="s">
        <v>378</v>
      </c>
      <c r="F300" s="64" t="s">
        <v>115</v>
      </c>
      <c r="G300" s="119"/>
      <c r="H300" s="120">
        <v>46112</v>
      </c>
    </row>
    <row r="301" spans="1:15" ht="15.75" x14ac:dyDescent="0.25">
      <c r="A301" s="5" t="s">
        <v>808</v>
      </c>
      <c r="B301" s="4" t="s">
        <v>15</v>
      </c>
      <c r="C301" s="4" t="s">
        <v>15</v>
      </c>
      <c r="D301" s="123">
        <v>-101.5</v>
      </c>
      <c r="E301" s="4" t="s">
        <v>378</v>
      </c>
      <c r="F301" s="64" t="s">
        <v>115</v>
      </c>
      <c r="G301" s="119"/>
      <c r="H301" s="120">
        <v>46112</v>
      </c>
    </row>
    <row r="302" spans="1:15" ht="15.75" x14ac:dyDescent="0.25">
      <c r="A302" s="5" t="s">
        <v>809</v>
      </c>
      <c r="B302" s="4" t="s">
        <v>15</v>
      </c>
      <c r="C302" s="4" t="s">
        <v>15</v>
      </c>
      <c r="D302" s="121">
        <v>125</v>
      </c>
      <c r="E302" s="4" t="s">
        <v>378</v>
      </c>
      <c r="F302" s="64" t="s">
        <v>115</v>
      </c>
      <c r="G302" s="119"/>
      <c r="H302" s="120">
        <v>46112</v>
      </c>
    </row>
    <row r="303" spans="1:15" ht="15.75" x14ac:dyDescent="0.25">
      <c r="A303" s="5" t="s">
        <v>809</v>
      </c>
      <c r="B303" s="4" t="s">
        <v>15</v>
      </c>
      <c r="C303" s="4" t="s">
        <v>15</v>
      </c>
      <c r="D303" s="121">
        <v>-101.5</v>
      </c>
      <c r="E303" s="4" t="s">
        <v>378</v>
      </c>
      <c r="F303" s="64" t="s">
        <v>115</v>
      </c>
      <c r="G303" s="119"/>
      <c r="H303" s="120">
        <v>46112</v>
      </c>
    </row>
    <row r="304" spans="1:15" ht="15.75" x14ac:dyDescent="0.25">
      <c r="A304" s="5" t="s">
        <v>396</v>
      </c>
      <c r="B304" s="4" t="s">
        <v>15</v>
      </c>
      <c r="C304" s="4" t="s">
        <v>15</v>
      </c>
      <c r="D304" s="123">
        <v>101.5</v>
      </c>
      <c r="E304" s="4" t="s">
        <v>4</v>
      </c>
      <c r="F304" s="64" t="s">
        <v>4</v>
      </c>
      <c r="G304" s="119"/>
      <c r="H304" s="120">
        <v>46112</v>
      </c>
    </row>
    <row r="305" spans="1:8" ht="15.75" x14ac:dyDescent="0.25">
      <c r="A305" s="5" t="s">
        <v>397</v>
      </c>
      <c r="B305" s="4" t="s">
        <v>15</v>
      </c>
      <c r="C305" s="4" t="s">
        <v>15</v>
      </c>
      <c r="D305" s="121">
        <v>101.5</v>
      </c>
      <c r="E305" s="4" t="s">
        <v>4</v>
      </c>
      <c r="F305" s="64" t="s">
        <v>4</v>
      </c>
      <c r="G305" s="119"/>
      <c r="H305" s="120">
        <v>46112</v>
      </c>
    </row>
    <row r="306" spans="1:8" ht="15.75" x14ac:dyDescent="0.25">
      <c r="A306" s="5" t="s">
        <v>817</v>
      </c>
      <c r="B306" s="4" t="s">
        <v>15</v>
      </c>
      <c r="C306" s="4" t="s">
        <v>15</v>
      </c>
      <c r="D306" s="13">
        <v>100</v>
      </c>
      <c r="E306" s="4" t="s">
        <v>4</v>
      </c>
      <c r="F306" s="64" t="s">
        <v>4</v>
      </c>
      <c r="G306" s="84"/>
      <c r="H306" s="120">
        <v>46112</v>
      </c>
    </row>
    <row r="307" spans="1:8" ht="15.75" x14ac:dyDescent="0.25">
      <c r="A307" s="5" t="s">
        <v>818</v>
      </c>
      <c r="B307" s="4" t="s">
        <v>15</v>
      </c>
      <c r="C307" s="4" t="s">
        <v>15</v>
      </c>
      <c r="D307" s="13">
        <v>100</v>
      </c>
      <c r="E307" s="4" t="s">
        <v>4</v>
      </c>
      <c r="F307" s="64" t="s">
        <v>4</v>
      </c>
      <c r="G307" s="84"/>
      <c r="H307" s="120">
        <v>46112</v>
      </c>
    </row>
    <row r="308" spans="1:8" ht="15.75" x14ac:dyDescent="0.25">
      <c r="A308" s="5" t="s">
        <v>810</v>
      </c>
      <c r="B308" s="4" t="s">
        <v>15</v>
      </c>
      <c r="C308" s="4" t="s">
        <v>15</v>
      </c>
      <c r="D308" s="121">
        <v>100</v>
      </c>
      <c r="E308" s="4" t="s">
        <v>378</v>
      </c>
      <c r="F308" s="64" t="s">
        <v>115</v>
      </c>
      <c r="G308" s="119"/>
      <c r="H308" s="120">
        <v>46112</v>
      </c>
    </row>
    <row r="309" spans="1:8" ht="15.75" x14ac:dyDescent="0.25">
      <c r="A309" s="5" t="s">
        <v>810</v>
      </c>
      <c r="B309" s="4" t="s">
        <v>15</v>
      </c>
      <c r="C309" s="4" t="s">
        <v>15</v>
      </c>
      <c r="D309" s="123">
        <v>-50</v>
      </c>
      <c r="E309" s="4" t="s">
        <v>378</v>
      </c>
      <c r="F309" s="64" t="s">
        <v>115</v>
      </c>
      <c r="G309" s="119"/>
      <c r="H309" s="120">
        <v>46112</v>
      </c>
    </row>
    <row r="310" spans="1:8" ht="15.75" x14ac:dyDescent="0.25">
      <c r="A310" s="5" t="s">
        <v>811</v>
      </c>
      <c r="B310" s="4" t="s">
        <v>15</v>
      </c>
      <c r="C310" s="4" t="s">
        <v>15</v>
      </c>
      <c r="D310" s="13">
        <v>506</v>
      </c>
      <c r="E310" s="4" t="s">
        <v>4</v>
      </c>
      <c r="F310" s="64" t="s">
        <v>4</v>
      </c>
      <c r="G310" s="119"/>
      <c r="H310" s="120">
        <v>46112</v>
      </c>
    </row>
    <row r="311" spans="1:8" ht="15.75" x14ac:dyDescent="0.25">
      <c r="A311" s="5" t="s">
        <v>812</v>
      </c>
      <c r="B311" s="4" t="s">
        <v>15</v>
      </c>
      <c r="C311" s="4" t="s">
        <v>15</v>
      </c>
      <c r="D311" s="121">
        <v>300</v>
      </c>
      <c r="E311" s="4" t="s">
        <v>4</v>
      </c>
      <c r="F311" s="64" t="s">
        <v>4</v>
      </c>
      <c r="G311" s="119"/>
      <c r="H311" s="120">
        <v>46112</v>
      </c>
    </row>
    <row r="312" spans="1:8" ht="15.75" x14ac:dyDescent="0.25">
      <c r="A312" s="5" t="s">
        <v>399</v>
      </c>
      <c r="B312" s="4" t="s">
        <v>15</v>
      </c>
      <c r="C312" s="4" t="s">
        <v>15</v>
      </c>
      <c r="D312" s="121">
        <v>1333.33</v>
      </c>
      <c r="E312" s="4" t="s">
        <v>4</v>
      </c>
      <c r="F312" s="64" t="s">
        <v>4</v>
      </c>
      <c r="G312" s="119"/>
      <c r="H312" s="120">
        <v>46112</v>
      </c>
    </row>
    <row r="313" spans="1:8" ht="15.75" x14ac:dyDescent="0.25">
      <c r="A313" s="5" t="s">
        <v>398</v>
      </c>
      <c r="B313" s="4" t="s">
        <v>15</v>
      </c>
      <c r="C313" s="4" t="s">
        <v>15</v>
      </c>
      <c r="D313" s="12">
        <v>190</v>
      </c>
      <c r="E313" s="4" t="s">
        <v>4</v>
      </c>
      <c r="F313" s="64" t="s">
        <v>4</v>
      </c>
      <c r="G313" s="23"/>
      <c r="H313" s="120">
        <v>46112</v>
      </c>
    </row>
    <row r="314" spans="1:8" ht="15.75" x14ac:dyDescent="0.25">
      <c r="A314" s="5" t="s">
        <v>735</v>
      </c>
      <c r="B314" s="4" t="s">
        <v>15</v>
      </c>
      <c r="C314" s="4" t="s">
        <v>15</v>
      </c>
      <c r="D314" s="33">
        <v>1566.67</v>
      </c>
      <c r="E314" s="4" t="s">
        <v>4</v>
      </c>
      <c r="F314" s="64" t="s">
        <v>4</v>
      </c>
      <c r="G314" s="119"/>
      <c r="H314" s="120">
        <v>46112</v>
      </c>
    </row>
    <row r="315" spans="1:8" ht="15.75" x14ac:dyDescent="0.25">
      <c r="A315" s="5" t="s">
        <v>819</v>
      </c>
      <c r="B315" s="4" t="s">
        <v>15</v>
      </c>
      <c r="C315" s="4" t="s">
        <v>15</v>
      </c>
      <c r="D315" s="33">
        <v>585</v>
      </c>
      <c r="E315" s="4" t="s">
        <v>4</v>
      </c>
      <c r="F315" s="64" t="s">
        <v>4</v>
      </c>
      <c r="G315" s="119"/>
      <c r="H315" s="120">
        <v>46112</v>
      </c>
    </row>
    <row r="316" spans="1:8" ht="15.75" x14ac:dyDescent="0.25">
      <c r="A316" s="5" t="s">
        <v>570</v>
      </c>
      <c r="B316" s="4" t="s">
        <v>15</v>
      </c>
      <c r="C316" s="4" t="s">
        <v>15</v>
      </c>
      <c r="D316" s="12">
        <v>168.67</v>
      </c>
      <c r="E316" s="4" t="s">
        <v>4</v>
      </c>
      <c r="F316" s="64" t="s">
        <v>4</v>
      </c>
      <c r="G316" s="79"/>
      <c r="H316" s="120">
        <v>46112</v>
      </c>
    </row>
    <row r="317" spans="1:8" ht="15.75" x14ac:dyDescent="0.25">
      <c r="A317" s="5" t="s">
        <v>820</v>
      </c>
      <c r="B317" s="4" t="s">
        <v>15</v>
      </c>
      <c r="C317" s="4" t="s">
        <v>15</v>
      </c>
      <c r="D317" s="33">
        <v>1471</v>
      </c>
      <c r="E317" s="4" t="s">
        <v>4</v>
      </c>
      <c r="F317" s="64" t="s">
        <v>4</v>
      </c>
      <c r="G317" s="119"/>
      <c r="H317" s="120">
        <v>46112</v>
      </c>
    </row>
    <row r="318" spans="1:8" ht="15.75" x14ac:dyDescent="0.25">
      <c r="A318" s="5" t="s">
        <v>822</v>
      </c>
      <c r="B318" s="4" t="s">
        <v>148</v>
      </c>
      <c r="C318" s="4" t="s">
        <v>38</v>
      </c>
      <c r="D318" s="33">
        <v>80</v>
      </c>
      <c r="E318" s="117"/>
      <c r="F318" s="64" t="s">
        <v>115</v>
      </c>
      <c r="G318" s="119"/>
      <c r="H318" s="120">
        <v>46112</v>
      </c>
    </row>
    <row r="319" spans="1:8" ht="15.75" x14ac:dyDescent="0.25">
      <c r="A319" s="5"/>
      <c r="B319" s="4"/>
      <c r="C319" s="4"/>
      <c r="D319" s="13"/>
      <c r="E319" s="4"/>
      <c r="F319" s="64"/>
      <c r="G319" s="89"/>
      <c r="H319" s="11"/>
    </row>
    <row r="320" spans="1:8" ht="15.75" x14ac:dyDescent="0.25">
      <c r="A320" s="5"/>
      <c r="B320" s="4"/>
      <c r="C320" s="4"/>
      <c r="D320" s="13"/>
      <c r="E320" s="4"/>
      <c r="F320" s="64"/>
      <c r="G320" s="89"/>
      <c r="H320" s="11"/>
    </row>
    <row r="321" spans="1:8" ht="15.75" x14ac:dyDescent="0.25">
      <c r="A321" s="5"/>
      <c r="B321" s="4"/>
      <c r="C321" s="4"/>
      <c r="D321" s="12"/>
      <c r="E321" s="4"/>
      <c r="F321" s="64"/>
      <c r="G321" s="89"/>
      <c r="H321" s="11"/>
    </row>
    <row r="322" spans="1:8" ht="15.75" x14ac:dyDescent="0.25">
      <c r="A322" s="116"/>
      <c r="B322" s="117"/>
      <c r="C322" s="117"/>
      <c r="D322" s="121"/>
      <c r="E322" s="4"/>
      <c r="F322" s="64"/>
      <c r="G322" s="89"/>
      <c r="H322" s="11"/>
    </row>
    <row r="323" spans="1:8" ht="15.75" x14ac:dyDescent="0.25">
      <c r="A323" s="5"/>
      <c r="B323" s="4"/>
      <c r="C323" s="4"/>
      <c r="D323" s="13"/>
      <c r="E323" s="4"/>
      <c r="F323" s="64"/>
      <c r="G323" s="84"/>
      <c r="H323" s="11"/>
    </row>
    <row r="324" spans="1:8" ht="15.75" x14ac:dyDescent="0.25">
      <c r="A324" s="5"/>
      <c r="B324" s="4"/>
      <c r="C324" s="4"/>
      <c r="D324" s="13"/>
      <c r="E324" s="4"/>
      <c r="F324" s="64"/>
      <c r="G324" s="89"/>
      <c r="H324" s="11"/>
    </row>
    <row r="325" spans="1:8" ht="15.75" x14ac:dyDescent="0.25">
      <c r="A325" s="5"/>
      <c r="B325" s="4"/>
      <c r="C325" s="4"/>
      <c r="D325" s="13"/>
      <c r="E325" s="4"/>
      <c r="F325" s="64"/>
      <c r="G325" s="89"/>
      <c r="H325" s="11"/>
    </row>
    <row r="326" spans="1:8" ht="15.75" x14ac:dyDescent="0.25">
      <c r="A326" s="116"/>
      <c r="B326" s="117"/>
      <c r="C326" s="117"/>
      <c r="D326" s="33"/>
      <c r="E326" s="117"/>
      <c r="F326" s="118"/>
      <c r="G326" s="119"/>
      <c r="H326" s="120"/>
    </row>
    <row r="327" spans="1:8" ht="15.75" x14ac:dyDescent="0.25">
      <c r="A327" s="5"/>
      <c r="B327" s="4"/>
      <c r="C327" s="4"/>
      <c r="D327" s="33"/>
      <c r="E327" s="4"/>
      <c r="F327" s="64"/>
      <c r="G327" s="23"/>
      <c r="H327" s="11"/>
    </row>
    <row r="328" spans="1:8" ht="15.75" x14ac:dyDescent="0.25">
      <c r="A328" s="5"/>
      <c r="B328" s="4"/>
      <c r="C328" s="4"/>
      <c r="D328" s="33"/>
      <c r="E328" s="4"/>
      <c r="F328" s="64"/>
      <c r="G328" s="84"/>
      <c r="H328" s="85"/>
    </row>
    <row r="329" spans="1:8" ht="15.75" x14ac:dyDescent="0.25">
      <c r="A329" s="5"/>
      <c r="B329" s="4"/>
      <c r="C329" s="4"/>
      <c r="D329" s="33"/>
      <c r="E329" s="92"/>
      <c r="F329" s="64"/>
      <c r="G329" s="89"/>
      <c r="H329" s="94"/>
    </row>
    <row r="330" spans="1:8" ht="15.75" x14ac:dyDescent="0.25">
      <c r="A330" s="5"/>
      <c r="B330" s="8"/>
      <c r="C330" s="8"/>
      <c r="D330" s="13"/>
      <c r="E330" s="8"/>
      <c r="F330" s="65"/>
      <c r="G330" s="24"/>
      <c r="H330" s="9"/>
    </row>
    <row r="331" spans="1:8" ht="15.75" x14ac:dyDescent="0.25">
      <c r="A331"/>
      <c r="D331" s="13"/>
      <c r="F331" s="64" t="s">
        <v>115</v>
      </c>
      <c r="G331"/>
    </row>
    <row r="332" spans="1:8" ht="15.75" x14ac:dyDescent="0.25">
      <c r="A332" s="6" t="s">
        <v>5</v>
      </c>
      <c r="B332" s="4"/>
      <c r="C332" s="4"/>
      <c r="D332" s="12">
        <f>SUBTOTAL(9,D1:D331)</f>
        <v>167357.32</v>
      </c>
      <c r="E332" s="4"/>
      <c r="F332" s="64" t="s">
        <v>115</v>
      </c>
      <c r="G332" s="23"/>
      <c r="H332" s="3"/>
    </row>
    <row r="333" spans="1:8" ht="15.75" x14ac:dyDescent="0.25">
      <c r="A333" s="5" t="s">
        <v>40</v>
      </c>
      <c r="B333" s="6" t="s">
        <v>154</v>
      </c>
      <c r="C333" s="6"/>
      <c r="D333" s="16"/>
      <c r="E333" s="4"/>
      <c r="F333" s="64" t="s">
        <v>115</v>
      </c>
      <c r="G333" s="23"/>
      <c r="H333" s="3"/>
    </row>
    <row r="334" spans="1:8" x14ac:dyDescent="0.25">
      <c r="C334" s="16"/>
    </row>
    <row r="335" spans="1:8" ht="21" x14ac:dyDescent="0.35">
      <c r="A335" s="127" t="s">
        <v>160</v>
      </c>
      <c r="B335" s="127"/>
      <c r="C335" s="127"/>
      <c r="D335" s="127"/>
      <c r="E335" s="127"/>
      <c r="F335" s="127"/>
      <c r="G335" s="127"/>
      <c r="H335" s="127"/>
    </row>
    <row r="336" spans="1:8" ht="15.75" x14ac:dyDescent="0.25">
      <c r="A336" s="5" t="s">
        <v>78</v>
      </c>
      <c r="B336" s="4" t="s">
        <v>147</v>
      </c>
      <c r="C336" s="4" t="s">
        <v>121</v>
      </c>
      <c r="D336" s="17" t="s">
        <v>6</v>
      </c>
      <c r="E336" s="4" t="s">
        <v>3</v>
      </c>
      <c r="F336" s="4" t="s">
        <v>10</v>
      </c>
      <c r="G336" s="24" t="s">
        <v>13</v>
      </c>
      <c r="H336" s="9" t="s">
        <v>14</v>
      </c>
    </row>
    <row r="337" spans="1:8" ht="15.75" x14ac:dyDescent="0.25">
      <c r="A337" s="5" t="s">
        <v>12</v>
      </c>
      <c r="B337" s="4" t="s">
        <v>15</v>
      </c>
      <c r="C337" s="4" t="s">
        <v>15</v>
      </c>
      <c r="D337" s="12">
        <v>17589.96</v>
      </c>
      <c r="E337" s="4" t="s">
        <v>4</v>
      </c>
      <c r="F337" s="4" t="s">
        <v>4</v>
      </c>
      <c r="G337" s="53" t="s">
        <v>104</v>
      </c>
      <c r="H337" s="11">
        <v>46083</v>
      </c>
    </row>
    <row r="338" spans="1:8" ht="15.75" x14ac:dyDescent="0.25">
      <c r="A338" s="5" t="s">
        <v>112</v>
      </c>
      <c r="B338" s="4" t="s">
        <v>148</v>
      </c>
      <c r="C338" s="4" t="s">
        <v>38</v>
      </c>
      <c r="D338" s="13">
        <v>81.400000000000006</v>
      </c>
      <c r="E338" s="4" t="s">
        <v>4</v>
      </c>
      <c r="F338" s="4" t="s">
        <v>4</v>
      </c>
      <c r="G338" s="53" t="s">
        <v>92</v>
      </c>
      <c r="H338" s="9">
        <v>46105</v>
      </c>
    </row>
    <row r="339" spans="1:8" ht="15.75" x14ac:dyDescent="0.25">
      <c r="A339" s="5" t="s">
        <v>189</v>
      </c>
      <c r="B339" s="4" t="s">
        <v>148</v>
      </c>
      <c r="C339" s="4" t="s">
        <v>38</v>
      </c>
      <c r="D339" s="13">
        <v>955.56</v>
      </c>
      <c r="E339" s="4" t="s">
        <v>4</v>
      </c>
      <c r="F339" s="4" t="s">
        <v>4</v>
      </c>
      <c r="G339" s="53" t="s">
        <v>101</v>
      </c>
      <c r="H339" s="9">
        <v>46090</v>
      </c>
    </row>
    <row r="340" spans="1:8" ht="15.75" x14ac:dyDescent="0.25">
      <c r="A340" s="5" t="s">
        <v>724</v>
      </c>
      <c r="B340" s="4" t="s">
        <v>84</v>
      </c>
      <c r="C340" s="4" t="s">
        <v>84</v>
      </c>
      <c r="D340" s="12">
        <v>11782.69</v>
      </c>
      <c r="E340" s="4" t="s">
        <v>4</v>
      </c>
      <c r="F340" s="4" t="s">
        <v>4</v>
      </c>
      <c r="G340" s="53" t="s">
        <v>96</v>
      </c>
      <c r="H340" s="9">
        <v>46097</v>
      </c>
    </row>
    <row r="341" spans="1:8" ht="15.75" x14ac:dyDescent="0.25">
      <c r="A341" s="5" t="s">
        <v>229</v>
      </c>
      <c r="B341" s="4" t="s">
        <v>84</v>
      </c>
      <c r="C341" s="4" t="s">
        <v>84</v>
      </c>
      <c r="D341" s="38">
        <v>10673.46</v>
      </c>
      <c r="E341" s="4" t="s">
        <v>4</v>
      </c>
      <c r="F341" s="4" t="s">
        <v>4</v>
      </c>
      <c r="G341" s="53" t="s">
        <v>96</v>
      </c>
      <c r="H341" s="9">
        <v>46097</v>
      </c>
    </row>
    <row r="342" spans="1:8" ht="15.75" x14ac:dyDescent="0.25">
      <c r="A342" s="5" t="s">
        <v>81</v>
      </c>
      <c r="B342" s="4" t="s">
        <v>84</v>
      </c>
      <c r="C342" s="4" t="s">
        <v>84</v>
      </c>
      <c r="D342" s="56">
        <v>26599.02</v>
      </c>
      <c r="E342" s="4" t="s">
        <v>4</v>
      </c>
      <c r="F342" s="4" t="s">
        <v>4</v>
      </c>
      <c r="G342" s="53" t="s">
        <v>96</v>
      </c>
      <c r="H342" s="9">
        <v>46097</v>
      </c>
    </row>
    <row r="343" spans="1:8" ht="15.75" x14ac:dyDescent="0.25">
      <c r="A343" s="5" t="s">
        <v>27</v>
      </c>
      <c r="B343" s="4" t="s">
        <v>148</v>
      </c>
      <c r="C343" s="4" t="s">
        <v>38</v>
      </c>
      <c r="D343" s="12">
        <v>44.27</v>
      </c>
      <c r="E343" s="4" t="s">
        <v>4</v>
      </c>
      <c r="F343" s="4" t="s">
        <v>4</v>
      </c>
      <c r="G343" s="53" t="s">
        <v>98</v>
      </c>
      <c r="H343" s="9">
        <v>46104</v>
      </c>
    </row>
    <row r="344" spans="1:8" ht="15.75" x14ac:dyDescent="0.25">
      <c r="A344" s="5" t="s">
        <v>725</v>
      </c>
      <c r="B344" s="4" t="s">
        <v>141</v>
      </c>
      <c r="C344" s="4" t="s">
        <v>39</v>
      </c>
      <c r="D344" s="12">
        <v>1460</v>
      </c>
      <c r="E344" s="4" t="s">
        <v>4</v>
      </c>
      <c r="F344" s="4" t="s">
        <v>4</v>
      </c>
      <c r="G344" s="53" t="s">
        <v>119</v>
      </c>
      <c r="H344" s="9">
        <v>46104</v>
      </c>
    </row>
    <row r="345" spans="1:8" ht="15.75" x14ac:dyDescent="0.25">
      <c r="A345" s="5" t="s">
        <v>784</v>
      </c>
      <c r="B345" s="4" t="s">
        <v>148</v>
      </c>
      <c r="C345" s="4" t="s">
        <v>38</v>
      </c>
      <c r="D345" s="86">
        <v>97.65</v>
      </c>
      <c r="E345" s="4" t="s">
        <v>4</v>
      </c>
      <c r="F345" s="4" t="s">
        <v>4</v>
      </c>
      <c r="G345" s="112"/>
      <c r="H345" s="113">
        <v>46090</v>
      </c>
    </row>
    <row r="346" spans="1:8" ht="15.75" x14ac:dyDescent="0.25">
      <c r="A346" s="5" t="s">
        <v>785</v>
      </c>
      <c r="B346" s="4" t="s">
        <v>148</v>
      </c>
      <c r="C346" s="4" t="s">
        <v>38</v>
      </c>
      <c r="D346" s="86">
        <v>128.30000000000001</v>
      </c>
      <c r="E346" s="4" t="s">
        <v>4</v>
      </c>
      <c r="F346" s="4" t="s">
        <v>4</v>
      </c>
      <c r="G346" s="112"/>
      <c r="H346" s="113">
        <v>46090</v>
      </c>
    </row>
    <row r="347" spans="1:8" ht="15.75" x14ac:dyDescent="0.25">
      <c r="A347" s="82"/>
      <c r="B347" s="83"/>
      <c r="C347" s="83"/>
      <c r="D347" s="86"/>
      <c r="E347" s="83"/>
      <c r="F347" s="64" t="s">
        <v>115</v>
      </c>
      <c r="G347" s="84"/>
      <c r="H347" s="85"/>
    </row>
    <row r="348" spans="1:8" ht="15.75" x14ac:dyDescent="0.25">
      <c r="A348" s="51"/>
      <c r="B348" s="48"/>
      <c r="C348" s="4"/>
      <c r="D348" s="52"/>
      <c r="E348" s="48"/>
      <c r="F348" s="4" t="s">
        <v>115</v>
      </c>
      <c r="G348" s="49"/>
      <c r="H348" s="50"/>
    </row>
    <row r="349" spans="1:8" ht="15.75" x14ac:dyDescent="0.25">
      <c r="A349" s="4" t="s">
        <v>11</v>
      </c>
      <c r="B349" s="27"/>
      <c r="C349" s="4" t="s">
        <v>0</v>
      </c>
      <c r="D349" s="12">
        <f>SUBTOTAL(9,D336:D347)</f>
        <v>69412.31</v>
      </c>
      <c r="E349" s="4"/>
      <c r="F349" s="4" t="s">
        <v>115</v>
      </c>
      <c r="G349" s="24"/>
      <c r="H349" s="11"/>
    </row>
    <row r="350" spans="1:8" ht="15.75" x14ac:dyDescent="0.25">
      <c r="A350" s="5" t="s">
        <v>117</v>
      </c>
      <c r="B350" s="5"/>
      <c r="C350" s="5"/>
      <c r="D350" s="16"/>
      <c r="E350" s="4"/>
      <c r="F350" s="4" t="s">
        <v>115</v>
      </c>
      <c r="G350" s="24"/>
      <c r="H350" s="11"/>
    </row>
    <row r="351" spans="1:8" ht="15.75" x14ac:dyDescent="0.25">
      <c r="A351" s="5"/>
      <c r="B351" s="5"/>
      <c r="C351" s="5"/>
      <c r="D351" s="16"/>
      <c r="E351" s="4"/>
      <c r="F351" s="4"/>
      <c r="G351" s="24"/>
      <c r="H351" s="11"/>
    </row>
    <row r="352" spans="1:8" ht="21" x14ac:dyDescent="0.35">
      <c r="A352" s="127" t="s">
        <v>155</v>
      </c>
      <c r="B352" s="127"/>
      <c r="C352" s="127"/>
      <c r="D352" s="127"/>
      <c r="E352" s="127"/>
      <c r="F352" s="127"/>
      <c r="G352" s="128"/>
    </row>
    <row r="353" spans="1:7" ht="15.75" x14ac:dyDescent="0.25">
      <c r="A353" s="5" t="s">
        <v>7</v>
      </c>
      <c r="B353" s="4" t="s">
        <v>37</v>
      </c>
      <c r="C353" s="17" t="s">
        <v>6</v>
      </c>
      <c r="D353" s="4" t="s">
        <v>3</v>
      </c>
      <c r="E353" s="4" t="s">
        <v>9</v>
      </c>
      <c r="F353" s="108" t="s">
        <v>13</v>
      </c>
      <c r="G353" s="9" t="s">
        <v>14</v>
      </c>
    </row>
    <row r="354" spans="1:7" ht="15.75" x14ac:dyDescent="0.25">
      <c r="A354" s="5" t="s">
        <v>616</v>
      </c>
      <c r="B354" s="4" t="s">
        <v>120</v>
      </c>
      <c r="C354" s="12">
        <v>28500</v>
      </c>
      <c r="D354" s="4" t="s">
        <v>4</v>
      </c>
      <c r="E354" s="4" t="s">
        <v>4</v>
      </c>
      <c r="F354" s="23"/>
      <c r="G354" s="11"/>
    </row>
    <row r="355" spans="1:7" ht="15.75" x14ac:dyDescent="0.25">
      <c r="A355" s="5" t="s">
        <v>617</v>
      </c>
      <c r="B355" s="4" t="s">
        <v>188</v>
      </c>
      <c r="C355" s="12">
        <v>69.16</v>
      </c>
      <c r="D355" s="4" t="s">
        <v>4</v>
      </c>
      <c r="E355" s="4" t="s">
        <v>4</v>
      </c>
      <c r="F355" s="23"/>
      <c r="G355" s="11"/>
    </row>
    <row r="356" spans="1:7" ht="15.75" x14ac:dyDescent="0.25">
      <c r="A356" s="5" t="s">
        <v>618</v>
      </c>
      <c r="B356" s="4" t="s">
        <v>120</v>
      </c>
      <c r="C356" s="12">
        <v>20000</v>
      </c>
      <c r="D356" s="4" t="s">
        <v>4</v>
      </c>
      <c r="E356" s="4" t="s">
        <v>4</v>
      </c>
      <c r="F356" s="23"/>
      <c r="G356" s="11"/>
    </row>
    <row r="357" spans="1:7" ht="15.75" x14ac:dyDescent="0.25">
      <c r="A357" s="5" t="s">
        <v>619</v>
      </c>
      <c r="B357" s="4" t="s">
        <v>188</v>
      </c>
      <c r="C357" s="12">
        <v>54</v>
      </c>
      <c r="D357" s="4" t="s">
        <v>4</v>
      </c>
      <c r="E357" s="4" t="s">
        <v>4</v>
      </c>
      <c r="F357" s="23"/>
      <c r="G357" s="11"/>
    </row>
    <row r="358" spans="1:7" ht="15.75" x14ac:dyDescent="0.25">
      <c r="A358" s="5" t="s">
        <v>633</v>
      </c>
      <c r="B358" s="4" t="s">
        <v>120</v>
      </c>
      <c r="C358" s="12">
        <v>3800</v>
      </c>
      <c r="D358" s="4" t="s">
        <v>4</v>
      </c>
      <c r="E358" s="4" t="s">
        <v>4</v>
      </c>
      <c r="F358" s="23"/>
      <c r="G358" s="11"/>
    </row>
    <row r="359" spans="1:7" ht="15.75" x14ac:dyDescent="0.25">
      <c r="A359" s="5" t="s">
        <v>634</v>
      </c>
      <c r="B359" s="4" t="s">
        <v>188</v>
      </c>
      <c r="C359" s="12">
        <v>91.48</v>
      </c>
      <c r="D359" s="4" t="s">
        <v>4</v>
      </c>
      <c r="E359" s="4" t="s">
        <v>4</v>
      </c>
      <c r="F359" s="23"/>
      <c r="G359" s="11"/>
    </row>
    <row r="360" spans="1:7" ht="15.75" x14ac:dyDescent="0.25">
      <c r="A360" s="5" t="s">
        <v>713</v>
      </c>
      <c r="B360" s="4" t="s">
        <v>120</v>
      </c>
      <c r="C360" s="12">
        <v>34600</v>
      </c>
      <c r="D360" s="4" t="s">
        <v>4</v>
      </c>
      <c r="E360" s="4" t="s">
        <v>4</v>
      </c>
      <c r="F360" s="23"/>
      <c r="G360" s="11"/>
    </row>
    <row r="361" spans="1:7" ht="15.75" x14ac:dyDescent="0.25">
      <c r="A361" s="5" t="s">
        <v>714</v>
      </c>
      <c r="B361" s="4" t="s">
        <v>188</v>
      </c>
      <c r="C361" s="12">
        <v>51.87</v>
      </c>
      <c r="D361" s="4" t="s">
        <v>4</v>
      </c>
      <c r="E361" s="4" t="s">
        <v>4</v>
      </c>
      <c r="F361" s="23"/>
      <c r="G361" s="11"/>
    </row>
    <row r="362" spans="1:7" ht="15.75" x14ac:dyDescent="0.25">
      <c r="A362" s="5" t="s">
        <v>715</v>
      </c>
      <c r="B362" s="4" t="s">
        <v>120</v>
      </c>
      <c r="C362" s="12">
        <v>4300</v>
      </c>
      <c r="D362" s="4" t="s">
        <v>4</v>
      </c>
      <c r="E362" s="4" t="s">
        <v>4</v>
      </c>
      <c r="F362" s="23"/>
      <c r="G362" s="11"/>
    </row>
    <row r="363" spans="1:7" ht="15.75" x14ac:dyDescent="0.25">
      <c r="A363" s="5" t="s">
        <v>716</v>
      </c>
      <c r="B363" s="4" t="s">
        <v>188</v>
      </c>
      <c r="C363" s="12">
        <v>36</v>
      </c>
      <c r="D363" s="4" t="s">
        <v>4</v>
      </c>
      <c r="E363" s="4" t="s">
        <v>4</v>
      </c>
      <c r="F363" s="23"/>
      <c r="G363" s="11"/>
    </row>
    <row r="364" spans="1:7" ht="15.75" x14ac:dyDescent="0.25">
      <c r="A364" s="5" t="s">
        <v>741</v>
      </c>
      <c r="B364" s="4" t="s">
        <v>120</v>
      </c>
      <c r="C364" s="12">
        <v>10100</v>
      </c>
      <c r="D364" s="4" t="s">
        <v>4</v>
      </c>
      <c r="E364" s="4" t="s">
        <v>4</v>
      </c>
      <c r="F364" s="23"/>
      <c r="G364" s="11"/>
    </row>
    <row r="365" spans="1:7" ht="15.75" x14ac:dyDescent="0.25">
      <c r="A365" s="5" t="s">
        <v>742</v>
      </c>
      <c r="B365" s="4" t="s">
        <v>188</v>
      </c>
      <c r="C365" s="12">
        <v>92.51</v>
      </c>
      <c r="D365" s="4" t="s">
        <v>4</v>
      </c>
      <c r="E365" s="4" t="s">
        <v>4</v>
      </c>
      <c r="F365" s="23"/>
      <c r="G365" s="11"/>
    </row>
    <row r="366" spans="1:7" ht="15.75" x14ac:dyDescent="0.25">
      <c r="A366" s="5" t="s">
        <v>743</v>
      </c>
      <c r="B366" s="4" t="s">
        <v>120</v>
      </c>
      <c r="C366" s="12">
        <v>30400</v>
      </c>
      <c r="D366" s="4" t="s">
        <v>4</v>
      </c>
      <c r="E366" s="4" t="s">
        <v>4</v>
      </c>
      <c r="F366" s="23"/>
      <c r="G366" s="11"/>
    </row>
    <row r="367" spans="1:7" ht="15.75" x14ac:dyDescent="0.25">
      <c r="A367" s="5" t="s">
        <v>744</v>
      </c>
      <c r="B367" s="4" t="s">
        <v>188</v>
      </c>
      <c r="C367" s="12">
        <v>54</v>
      </c>
      <c r="D367" s="4" t="s">
        <v>4</v>
      </c>
      <c r="E367" s="4" t="s">
        <v>4</v>
      </c>
      <c r="F367" s="23"/>
      <c r="G367" s="11"/>
    </row>
    <row r="368" spans="1:7" ht="15.75" x14ac:dyDescent="0.25">
      <c r="A368" s="5" t="s">
        <v>745</v>
      </c>
      <c r="B368" s="4" t="s">
        <v>120</v>
      </c>
      <c r="C368" s="12">
        <v>9000</v>
      </c>
      <c r="D368" s="4" t="s">
        <v>4</v>
      </c>
      <c r="E368" s="4" t="s">
        <v>4</v>
      </c>
      <c r="F368" s="23"/>
      <c r="G368" s="11"/>
    </row>
    <row r="369" spans="1:7" ht="15.75" x14ac:dyDescent="0.25">
      <c r="A369" s="5" t="s">
        <v>746</v>
      </c>
      <c r="B369" s="4" t="s">
        <v>188</v>
      </c>
      <c r="C369" s="12">
        <v>40</v>
      </c>
      <c r="D369" s="4" t="s">
        <v>4</v>
      </c>
      <c r="E369" s="4" t="s">
        <v>4</v>
      </c>
      <c r="F369" s="23"/>
      <c r="G369" s="11"/>
    </row>
    <row r="370" spans="1:7" ht="15.75" x14ac:dyDescent="0.25">
      <c r="A370" s="5" t="s">
        <v>749</v>
      </c>
      <c r="B370" s="4" t="s">
        <v>120</v>
      </c>
      <c r="C370" s="12">
        <v>4800</v>
      </c>
      <c r="D370" s="4" t="s">
        <v>4</v>
      </c>
      <c r="E370" s="4" t="s">
        <v>4</v>
      </c>
      <c r="F370" s="23"/>
      <c r="G370" s="11"/>
    </row>
    <row r="371" spans="1:7" ht="15.75" x14ac:dyDescent="0.25">
      <c r="A371" s="5" t="s">
        <v>750</v>
      </c>
      <c r="B371" s="4" t="s">
        <v>188</v>
      </c>
      <c r="C371" s="12">
        <v>45.74</v>
      </c>
      <c r="D371" s="4" t="s">
        <v>4</v>
      </c>
      <c r="E371" s="4" t="s">
        <v>4</v>
      </c>
      <c r="F371" s="23"/>
      <c r="G371" s="11"/>
    </row>
    <row r="372" spans="1:7" ht="15.75" x14ac:dyDescent="0.25">
      <c r="A372" s="5" t="s">
        <v>747</v>
      </c>
      <c r="B372" s="4" t="s">
        <v>120</v>
      </c>
      <c r="C372" s="109">
        <v>6400</v>
      </c>
      <c r="D372" s="4" t="s">
        <v>4</v>
      </c>
      <c r="E372" s="4" t="s">
        <v>4</v>
      </c>
      <c r="F372" s="110"/>
      <c r="G372" s="111"/>
    </row>
    <row r="373" spans="1:7" ht="15.75" x14ac:dyDescent="0.25">
      <c r="A373" s="5" t="s">
        <v>747</v>
      </c>
      <c r="B373" s="4" t="s">
        <v>120</v>
      </c>
      <c r="C373" s="14">
        <v>-5400</v>
      </c>
      <c r="D373" s="4" t="s">
        <v>4</v>
      </c>
      <c r="E373" s="4" t="s">
        <v>4</v>
      </c>
      <c r="F373" s="23"/>
      <c r="G373" s="11"/>
    </row>
    <row r="374" spans="1:7" ht="15.75" x14ac:dyDescent="0.25">
      <c r="A374" s="5" t="s">
        <v>748</v>
      </c>
      <c r="B374" s="4" t="s">
        <v>188</v>
      </c>
      <c r="C374" s="12">
        <v>80</v>
      </c>
      <c r="D374" s="4" t="s">
        <v>4</v>
      </c>
      <c r="E374" s="4" t="s">
        <v>4</v>
      </c>
      <c r="F374" s="23"/>
      <c r="G374" s="11"/>
    </row>
    <row r="375" spans="1:7" ht="15.75" x14ac:dyDescent="0.25">
      <c r="A375" s="5" t="s">
        <v>782</v>
      </c>
      <c r="B375" s="4" t="s">
        <v>120</v>
      </c>
      <c r="C375" s="12">
        <v>18100</v>
      </c>
      <c r="D375" s="4" t="s">
        <v>4</v>
      </c>
      <c r="E375" s="4" t="s">
        <v>4</v>
      </c>
      <c r="F375" s="23"/>
      <c r="G375" s="11"/>
    </row>
    <row r="376" spans="1:7" ht="15.75" x14ac:dyDescent="0.25">
      <c r="A376" s="5" t="s">
        <v>783</v>
      </c>
      <c r="B376" s="4" t="s">
        <v>188</v>
      </c>
      <c r="C376" s="60">
        <v>54</v>
      </c>
      <c r="D376" s="4" t="s">
        <v>4</v>
      </c>
      <c r="E376" s="4" t="s">
        <v>4</v>
      </c>
      <c r="F376" s="23"/>
      <c r="G376" s="11"/>
    </row>
    <row r="377" spans="1:7" ht="15.75" x14ac:dyDescent="0.25">
      <c r="A377" s="5" t="s">
        <v>790</v>
      </c>
      <c r="B377" s="4" t="s">
        <v>120</v>
      </c>
      <c r="C377" s="12">
        <v>16000</v>
      </c>
      <c r="D377" s="4" t="s">
        <v>4</v>
      </c>
      <c r="E377" s="4" t="s">
        <v>4</v>
      </c>
      <c r="F377" s="23"/>
      <c r="G377" s="11"/>
    </row>
    <row r="378" spans="1:7" ht="15.75" x14ac:dyDescent="0.25">
      <c r="A378" s="5" t="s">
        <v>791</v>
      </c>
      <c r="B378" s="4" t="s">
        <v>188</v>
      </c>
      <c r="C378" s="12">
        <v>68.61</v>
      </c>
      <c r="D378" s="4" t="s">
        <v>4</v>
      </c>
      <c r="E378" s="4" t="s">
        <v>4</v>
      </c>
      <c r="F378" s="23"/>
      <c r="G378" s="11"/>
    </row>
    <row r="379" spans="1:7" ht="15.75" x14ac:dyDescent="0.25">
      <c r="A379" s="5" t="s">
        <v>194</v>
      </c>
      <c r="B379" s="4" t="s">
        <v>120</v>
      </c>
      <c r="C379" s="12"/>
      <c r="D379" s="4"/>
      <c r="E379" s="4"/>
      <c r="F379" s="23"/>
      <c r="G379" s="11"/>
    </row>
    <row r="380" spans="1:7" ht="15.75" x14ac:dyDescent="0.25">
      <c r="A380" s="5" t="s">
        <v>195</v>
      </c>
      <c r="B380" s="4" t="s">
        <v>188</v>
      </c>
      <c r="C380" s="12"/>
      <c r="D380" s="4"/>
      <c r="E380" s="4"/>
      <c r="F380" s="23"/>
      <c r="G380" s="11"/>
    </row>
    <row r="381" spans="1:7" ht="15.75" x14ac:dyDescent="0.25">
      <c r="A381" s="5" t="s">
        <v>194</v>
      </c>
      <c r="B381" s="4" t="s">
        <v>120</v>
      </c>
      <c r="C381" s="12"/>
      <c r="D381" s="4"/>
      <c r="E381" s="4"/>
      <c r="F381" s="23"/>
      <c r="G381" s="11"/>
    </row>
    <row r="382" spans="1:7" ht="15.75" x14ac:dyDescent="0.25">
      <c r="A382" s="5" t="s">
        <v>195</v>
      </c>
      <c r="B382" s="4" t="s">
        <v>188</v>
      </c>
      <c r="C382" s="12"/>
      <c r="D382" s="4"/>
      <c r="E382" s="4"/>
      <c r="F382" s="23"/>
      <c r="G382" s="11"/>
    </row>
    <row r="383" spans="1:7" ht="15.75" x14ac:dyDescent="0.25">
      <c r="A383" s="5" t="s">
        <v>194</v>
      </c>
      <c r="B383" s="4" t="s">
        <v>120</v>
      </c>
      <c r="C383" s="12"/>
      <c r="D383" s="4"/>
      <c r="E383" s="4"/>
      <c r="F383" s="23"/>
      <c r="G383" s="11"/>
    </row>
    <row r="384" spans="1:7" ht="15.75" x14ac:dyDescent="0.25">
      <c r="A384" s="5" t="s">
        <v>195</v>
      </c>
      <c r="B384" s="4" t="s">
        <v>188</v>
      </c>
      <c r="C384" s="12"/>
      <c r="D384" s="4"/>
      <c r="E384" s="4"/>
      <c r="F384" s="23"/>
      <c r="G384" s="11"/>
    </row>
    <row r="385" spans="1:7" ht="15.75" x14ac:dyDescent="0.25">
      <c r="A385" s="5" t="s">
        <v>194</v>
      </c>
      <c r="B385" s="4" t="s">
        <v>120</v>
      </c>
      <c r="C385" s="12"/>
      <c r="D385" s="4"/>
      <c r="E385" s="4"/>
      <c r="F385" s="23"/>
      <c r="G385" s="11"/>
    </row>
    <row r="386" spans="1:7" ht="15.75" x14ac:dyDescent="0.25">
      <c r="A386" s="5" t="s">
        <v>195</v>
      </c>
      <c r="B386" s="4" t="s">
        <v>188</v>
      </c>
      <c r="C386" s="12"/>
      <c r="D386" s="4"/>
      <c r="E386" s="4"/>
      <c r="F386" s="23"/>
      <c r="G386" s="11"/>
    </row>
    <row r="387" spans="1:7" ht="15.75" x14ac:dyDescent="0.25">
      <c r="A387" s="5" t="s">
        <v>194</v>
      </c>
      <c r="B387" s="4" t="s">
        <v>120</v>
      </c>
      <c r="C387" s="12"/>
      <c r="D387" s="4"/>
      <c r="E387" s="4"/>
      <c r="F387" s="23"/>
      <c r="G387" s="11"/>
    </row>
    <row r="388" spans="1:7" ht="15.75" x14ac:dyDescent="0.25">
      <c r="A388" s="5" t="s">
        <v>195</v>
      </c>
      <c r="B388" s="4" t="s">
        <v>188</v>
      </c>
      <c r="C388" s="12"/>
      <c r="D388" s="4"/>
      <c r="E388" s="4"/>
      <c r="F388" s="23"/>
      <c r="G388" s="11"/>
    </row>
    <row r="389" spans="1:7" ht="15.75" x14ac:dyDescent="0.25">
      <c r="A389" s="5"/>
      <c r="B389" s="4"/>
      <c r="C389" s="12"/>
      <c r="D389" s="4"/>
      <c r="E389" s="4"/>
      <c r="F389" s="29"/>
      <c r="G389" s="30"/>
    </row>
    <row r="390" spans="1:7" ht="15.75" x14ac:dyDescent="0.25">
      <c r="A390" s="6"/>
      <c r="B390" s="4"/>
      <c r="C390" s="12"/>
      <c r="D390" s="4"/>
      <c r="E390" s="4" t="s">
        <v>115</v>
      </c>
      <c r="F390" s="24"/>
      <c r="G390" s="9"/>
    </row>
    <row r="391" spans="1:7" ht="15.75" x14ac:dyDescent="0.25">
      <c r="A391" s="6" t="s">
        <v>206</v>
      </c>
      <c r="B391" s="4"/>
      <c r="C391" s="12">
        <f>SUBTOTAL(9,C354:C390)</f>
        <v>181337.37</v>
      </c>
      <c r="D391" s="4"/>
      <c r="E391" s="4" t="s">
        <v>115</v>
      </c>
      <c r="F391" s="24"/>
      <c r="G391" s="9"/>
    </row>
    <row r="392" spans="1:7" ht="15.75" x14ac:dyDescent="0.25">
      <c r="A392" s="5" t="s">
        <v>40</v>
      </c>
      <c r="B392" s="6" t="s">
        <v>295</v>
      </c>
      <c r="C392" s="16"/>
      <c r="D392" s="4"/>
      <c r="E392" s="4" t="s">
        <v>115</v>
      </c>
      <c r="F392" s="24"/>
      <c r="G392" s="9"/>
    </row>
    <row r="394" spans="1:7" ht="21" x14ac:dyDescent="0.35">
      <c r="A394" s="127" t="s">
        <v>187</v>
      </c>
      <c r="B394" s="127"/>
      <c r="C394" s="127"/>
      <c r="D394" s="127"/>
      <c r="E394" s="127"/>
      <c r="F394" s="127"/>
      <c r="G394" s="128"/>
    </row>
    <row r="395" spans="1:7" ht="15.75" x14ac:dyDescent="0.25">
      <c r="A395" s="5" t="s">
        <v>7</v>
      </c>
      <c r="B395" s="4" t="s">
        <v>37</v>
      </c>
      <c r="C395" s="17" t="s">
        <v>6</v>
      </c>
      <c r="D395" s="4" t="s">
        <v>3</v>
      </c>
      <c r="E395" s="4" t="s">
        <v>9</v>
      </c>
      <c r="F395" s="24" t="s">
        <v>13</v>
      </c>
      <c r="G395" s="9" t="s">
        <v>14</v>
      </c>
    </row>
    <row r="396" spans="1:7" ht="15.75" x14ac:dyDescent="0.25">
      <c r="A396" s="5" t="s">
        <v>678</v>
      </c>
      <c r="B396" s="4" t="s">
        <v>85</v>
      </c>
      <c r="C396" s="13">
        <v>40000</v>
      </c>
      <c r="D396" s="4" t="s">
        <v>4</v>
      </c>
      <c r="E396" s="4" t="s">
        <v>4</v>
      </c>
      <c r="F396" s="24"/>
      <c r="G396" s="9"/>
    </row>
    <row r="397" spans="1:7" ht="15.75" x14ac:dyDescent="0.25">
      <c r="A397" s="5" t="s">
        <v>679</v>
      </c>
      <c r="B397" s="4" t="s">
        <v>8</v>
      </c>
      <c r="C397" s="13">
        <v>68.599999999999994</v>
      </c>
      <c r="D397" s="4" t="s">
        <v>4</v>
      </c>
      <c r="E397" s="4" t="s">
        <v>4</v>
      </c>
      <c r="F397" s="24"/>
      <c r="G397" s="9"/>
    </row>
    <row r="398" spans="1:7" ht="15.75" x14ac:dyDescent="0.25">
      <c r="A398" s="5" t="s">
        <v>779</v>
      </c>
      <c r="B398" s="4" t="s">
        <v>85</v>
      </c>
      <c r="C398" s="13">
        <v>70000</v>
      </c>
      <c r="D398" s="4" t="s">
        <v>4</v>
      </c>
      <c r="E398" s="4" t="s">
        <v>4</v>
      </c>
      <c r="F398" s="24"/>
      <c r="G398" s="9"/>
    </row>
    <row r="399" spans="1:7" ht="15.75" x14ac:dyDescent="0.25">
      <c r="A399" s="5" t="s">
        <v>780</v>
      </c>
      <c r="B399" s="4" t="s">
        <v>8</v>
      </c>
      <c r="C399" s="13">
        <v>51.15</v>
      </c>
      <c r="D399" s="4" t="s">
        <v>4</v>
      </c>
      <c r="E399" s="4" t="s">
        <v>4</v>
      </c>
      <c r="F399" s="24"/>
      <c r="G399" s="9"/>
    </row>
    <row r="400" spans="1:7" ht="15.75" x14ac:dyDescent="0.25">
      <c r="A400" s="5" t="s">
        <v>198</v>
      </c>
      <c r="B400" s="4" t="s">
        <v>85</v>
      </c>
      <c r="C400" s="13"/>
      <c r="D400" s="4"/>
      <c r="E400" s="4"/>
      <c r="F400" s="24"/>
      <c r="G400" s="9"/>
    </row>
    <row r="401" spans="1:11" ht="15.75" x14ac:dyDescent="0.25">
      <c r="A401" s="5" t="s">
        <v>199</v>
      </c>
      <c r="B401" s="4" t="s">
        <v>8</v>
      </c>
      <c r="C401" s="13"/>
      <c r="D401" s="4"/>
      <c r="E401" s="4"/>
      <c r="F401" s="24"/>
      <c r="G401" s="9"/>
    </row>
    <row r="402" spans="1:11" ht="15.75" x14ac:dyDescent="0.25">
      <c r="A402" s="5" t="s">
        <v>198</v>
      </c>
      <c r="B402" s="4" t="s">
        <v>85</v>
      </c>
      <c r="C402" s="13"/>
      <c r="D402" s="8"/>
      <c r="E402" s="4"/>
      <c r="F402" s="24"/>
      <c r="G402" s="9"/>
    </row>
    <row r="403" spans="1:11" ht="15.75" x14ac:dyDescent="0.25">
      <c r="A403" s="5" t="s">
        <v>199</v>
      </c>
      <c r="B403" s="4" t="s">
        <v>8</v>
      </c>
      <c r="C403" s="13"/>
      <c r="D403" s="8"/>
      <c r="E403" s="4"/>
      <c r="F403" s="24"/>
      <c r="G403" s="9"/>
    </row>
    <row r="404" spans="1:11" ht="15.75" x14ac:dyDescent="0.25">
      <c r="A404" s="5" t="s">
        <v>198</v>
      </c>
      <c r="B404" s="4" t="s">
        <v>85</v>
      </c>
      <c r="C404" s="13"/>
      <c r="D404" s="8"/>
      <c r="E404" s="8"/>
      <c r="F404" s="24"/>
      <c r="G404" s="9"/>
    </row>
    <row r="405" spans="1:11" ht="15.75" x14ac:dyDescent="0.25">
      <c r="A405" s="5" t="s">
        <v>199</v>
      </c>
      <c r="B405" s="4" t="s">
        <v>8</v>
      </c>
      <c r="C405" s="13"/>
      <c r="D405" s="8"/>
      <c r="E405" s="8"/>
      <c r="F405" s="24"/>
      <c r="G405" s="9"/>
    </row>
    <row r="406" spans="1:11" ht="15.75" x14ac:dyDescent="0.25">
      <c r="A406" s="5"/>
      <c r="B406" s="4"/>
      <c r="C406" s="12"/>
      <c r="D406" s="4"/>
      <c r="E406" s="4"/>
      <c r="F406" s="24"/>
      <c r="G406" s="9"/>
    </row>
    <row r="407" spans="1:11" ht="15.75" x14ac:dyDescent="0.25">
      <c r="A407" s="5"/>
      <c r="B407" s="4"/>
      <c r="C407" s="12"/>
      <c r="D407" s="4"/>
      <c r="E407" s="4"/>
      <c r="F407" s="23"/>
      <c r="G407" s="11"/>
    </row>
    <row r="408" spans="1:11" ht="15.75" x14ac:dyDescent="0.25">
      <c r="A408" s="5"/>
      <c r="B408" s="4"/>
      <c r="C408" s="12"/>
      <c r="D408" s="4"/>
      <c r="E408" s="4"/>
      <c r="F408" s="24"/>
      <c r="G408" s="9"/>
    </row>
    <row r="409" spans="1:11" ht="15.75" x14ac:dyDescent="0.25">
      <c r="A409" s="10"/>
      <c r="B409" s="8"/>
      <c r="C409" s="13"/>
      <c r="D409" s="8"/>
      <c r="E409" s="8"/>
      <c r="F409" s="24"/>
      <c r="G409" s="9"/>
    </row>
    <row r="410" spans="1:11" ht="15.75" x14ac:dyDescent="0.25">
      <c r="A410" s="5"/>
      <c r="B410" s="8"/>
      <c r="C410" s="13"/>
      <c r="D410" s="8"/>
      <c r="E410" s="8"/>
      <c r="F410" s="24"/>
      <c r="G410" s="9"/>
      <c r="K410" s="59"/>
    </row>
    <row r="411" spans="1:11" ht="15.75" x14ac:dyDescent="0.25">
      <c r="A411" s="10"/>
      <c r="B411" s="8"/>
      <c r="C411" s="13"/>
      <c r="D411" s="8"/>
      <c r="E411" s="8"/>
      <c r="F411" s="24"/>
      <c r="G411" s="9"/>
    </row>
    <row r="412" spans="1:11" ht="15.75" x14ac:dyDescent="0.25">
      <c r="A412" s="5"/>
      <c r="B412" s="4"/>
      <c r="C412" s="15"/>
      <c r="D412" s="4"/>
      <c r="E412" s="4" t="s">
        <v>115</v>
      </c>
      <c r="F412" s="24"/>
      <c r="G412" s="9"/>
    </row>
    <row r="413" spans="1:11" ht="15.75" x14ac:dyDescent="0.25">
      <c r="A413" s="6" t="s">
        <v>206</v>
      </c>
      <c r="B413" s="4"/>
      <c r="C413" s="12">
        <f>SUBTOTAL(9,C396:C412)</f>
        <v>110119.75</v>
      </c>
      <c r="D413" s="4"/>
      <c r="E413" s="4" t="s">
        <v>115</v>
      </c>
      <c r="F413" s="24"/>
      <c r="G413" s="9"/>
    </row>
    <row r="414" spans="1:11" ht="15.75" x14ac:dyDescent="0.25">
      <c r="A414" s="5" t="s">
        <v>40</v>
      </c>
      <c r="B414" s="6" t="s">
        <v>295</v>
      </c>
      <c r="C414" s="16"/>
      <c r="D414" s="4"/>
      <c r="E414" s="4" t="s">
        <v>115</v>
      </c>
      <c r="F414" s="24"/>
      <c r="G414" s="9"/>
    </row>
    <row r="417" spans="11:12" x14ac:dyDescent="0.25">
      <c r="K417" s="26"/>
      <c r="L417" s="26"/>
    </row>
    <row r="418" spans="11:12" x14ac:dyDescent="0.25">
      <c r="K418" s="26"/>
    </row>
    <row r="419" spans="11:12" x14ac:dyDescent="0.25">
      <c r="K419" s="26"/>
    </row>
    <row r="467" spans="13:13" x14ac:dyDescent="0.25">
      <c r="M467" s="54"/>
    </row>
    <row r="499" spans="12:12" x14ac:dyDescent="0.25">
      <c r="L499" s="47" t="s">
        <v>1</v>
      </c>
    </row>
  </sheetData>
  <mergeCells count="7">
    <mergeCell ref="A394:G394"/>
    <mergeCell ref="A1:H1"/>
    <mergeCell ref="K1:AB1"/>
    <mergeCell ref="K21:R21"/>
    <mergeCell ref="K42:T42"/>
    <mergeCell ref="A335:H335"/>
    <mergeCell ref="A352:G352"/>
  </mergeCells>
  <pageMargins left="0.511811024" right="0.511811024" top="0.78740157499999996" bottom="0.78740157499999996" header="0.31496062000000002" footer="0.31496062000000002"/>
  <pageSetup paperSize="9" scale="21" fitToHeight="0" orientation="portrait" horizontalDpi="300" verticalDpi="3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DCBE-081D-4B8F-A1FA-16CDEE7C7247}">
  <sheetPr>
    <pageSetUpPr fitToPage="1"/>
  </sheetPr>
  <dimension ref="A1:AB393"/>
  <sheetViews>
    <sheetView topLeftCell="A11" zoomScaleNormal="100" workbookViewId="0">
      <selection activeCell="E337" sqref="E337"/>
    </sheetView>
  </sheetViews>
  <sheetFormatPr defaultRowHeight="15" x14ac:dyDescent="0.25"/>
  <cols>
    <col min="1" max="1" width="76.140625" style="2" customWidth="1"/>
    <col min="2" max="2" width="15.7109375" customWidth="1"/>
    <col min="3" max="3" width="14.140625" customWidth="1"/>
    <col min="4" max="4" width="13.5703125" customWidth="1"/>
    <col min="5" max="5" width="10.5703125" customWidth="1"/>
    <col min="6" max="6" width="9.140625" style="25" customWidth="1"/>
    <col min="7" max="7" width="12.5703125" style="3" customWidth="1"/>
    <col min="8" max="8" width="13.28515625" customWidth="1"/>
    <col min="9" max="9" width="4.140625" customWidth="1"/>
    <col min="10" max="10" width="7.7109375" customWidth="1"/>
    <col min="11" max="11" width="19.42578125" customWidth="1"/>
    <col min="12" max="12" width="13.85546875" customWidth="1"/>
    <col min="13" max="13" width="13.7109375" customWidth="1"/>
    <col min="14" max="17" width="12.7109375" customWidth="1"/>
    <col min="18" max="18" width="14.85546875" customWidth="1"/>
    <col min="19" max="19" width="14.7109375" customWidth="1"/>
    <col min="20" max="28" width="13.7109375" customWidth="1"/>
    <col min="29" max="29" width="13.42578125" customWidth="1"/>
  </cols>
  <sheetData>
    <row r="1" spans="1:28" ht="21" x14ac:dyDescent="0.35">
      <c r="A1" s="129" t="s">
        <v>159</v>
      </c>
      <c r="B1" s="130"/>
      <c r="C1" s="130"/>
      <c r="D1" s="130"/>
      <c r="E1" s="130"/>
      <c r="F1" s="130"/>
      <c r="G1" s="130"/>
      <c r="H1" s="131"/>
      <c r="K1" s="132" t="s">
        <v>44</v>
      </c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8" ht="15.75" x14ac:dyDescent="0.25">
      <c r="A2" s="5" t="s">
        <v>7</v>
      </c>
      <c r="B2" s="4" t="s">
        <v>147</v>
      </c>
      <c r="C2" s="4" t="s">
        <v>146</v>
      </c>
      <c r="D2" s="17" t="s">
        <v>6</v>
      </c>
      <c r="E2" s="4" t="s">
        <v>3</v>
      </c>
      <c r="F2" s="4" t="s">
        <v>9</v>
      </c>
      <c r="G2" s="37" t="s">
        <v>89</v>
      </c>
      <c r="H2" s="9" t="s">
        <v>14</v>
      </c>
      <c r="K2" t="s">
        <v>45</v>
      </c>
      <c r="L2" t="s">
        <v>49</v>
      </c>
      <c r="M2" t="s">
        <v>185</v>
      </c>
      <c r="N2" t="s">
        <v>219</v>
      </c>
      <c r="O2" t="s">
        <v>50</v>
      </c>
      <c r="P2" t="s">
        <v>53</v>
      </c>
      <c r="Q2" t="s">
        <v>55</v>
      </c>
      <c r="R2" t="s">
        <v>57</v>
      </c>
      <c r="S2" t="s">
        <v>58</v>
      </c>
      <c r="T2" t="s">
        <v>2</v>
      </c>
      <c r="U2" t="s">
        <v>61</v>
      </c>
      <c r="V2" t="s">
        <v>65</v>
      </c>
      <c r="W2" t="s">
        <v>116</v>
      </c>
      <c r="X2" t="s">
        <v>218</v>
      </c>
      <c r="Y2" t="s">
        <v>66</v>
      </c>
      <c r="Z2" t="s">
        <v>0</v>
      </c>
    </row>
    <row r="3" spans="1:28" ht="15.75" x14ac:dyDescent="0.25">
      <c r="A3" s="5" t="s">
        <v>611</v>
      </c>
      <c r="B3" s="4" t="s">
        <v>149</v>
      </c>
      <c r="C3" s="4" t="s">
        <v>39</v>
      </c>
      <c r="D3" s="56">
        <v>870.36</v>
      </c>
      <c r="E3" s="4" t="s">
        <v>4</v>
      </c>
      <c r="F3" s="64" t="s">
        <v>4</v>
      </c>
      <c r="G3" s="53" t="s">
        <v>612</v>
      </c>
      <c r="H3" s="94">
        <v>46113</v>
      </c>
      <c r="K3" t="s">
        <v>46</v>
      </c>
      <c r="Q3" s="1"/>
      <c r="X3" s="7"/>
      <c r="Y3" s="7"/>
      <c r="Z3" s="1">
        <f>SUM(Tabela404657769411213014816639101742916[[#This Row],[LEANDRO TR]:[PAULO]])</f>
        <v>0</v>
      </c>
    </row>
    <row r="4" spans="1:28" ht="15.75" x14ac:dyDescent="0.25">
      <c r="A4" s="5" t="s">
        <v>15</v>
      </c>
      <c r="B4" s="4" t="s">
        <v>15</v>
      </c>
      <c r="C4" s="4" t="s">
        <v>15</v>
      </c>
      <c r="D4" s="33">
        <v>103523.85</v>
      </c>
      <c r="E4" s="4" t="s">
        <v>4</v>
      </c>
      <c r="F4" s="64" t="s">
        <v>4</v>
      </c>
      <c r="G4" s="89"/>
      <c r="H4" s="94">
        <v>46113</v>
      </c>
      <c r="K4" t="s">
        <v>47</v>
      </c>
      <c r="M4" s="1"/>
      <c r="X4" s="7"/>
      <c r="Y4" s="7"/>
      <c r="Z4" s="1">
        <f>SUM(Tabela404657769411213014816639101742916[[#This Row],[LEANDRO TR]:[PAULO]])</f>
        <v>0</v>
      </c>
    </row>
    <row r="5" spans="1:28" ht="15.75" x14ac:dyDescent="0.25">
      <c r="A5" s="5" t="s">
        <v>829</v>
      </c>
      <c r="B5" s="4" t="s">
        <v>148</v>
      </c>
      <c r="C5" s="4" t="s">
        <v>38</v>
      </c>
      <c r="D5" s="124">
        <v>36</v>
      </c>
      <c r="E5" s="4" t="s">
        <v>4</v>
      </c>
      <c r="F5" s="64" t="s">
        <v>4</v>
      </c>
      <c r="G5" s="23"/>
      <c r="H5" s="94">
        <v>46113</v>
      </c>
      <c r="K5" t="s">
        <v>48</v>
      </c>
      <c r="M5" s="1"/>
      <c r="W5" s="1"/>
      <c r="X5" s="1"/>
      <c r="Y5" s="1"/>
      <c r="Z5" s="1">
        <f>SUM(Tabela404657769411213014816639101742916[[#This Row],[LEANDRO TR]:[PAULO]])</f>
        <v>0</v>
      </c>
    </row>
    <row r="6" spans="1:28" ht="15.75" x14ac:dyDescent="0.25">
      <c r="A6" s="5" t="s">
        <v>834</v>
      </c>
      <c r="B6" s="4" t="s">
        <v>150</v>
      </c>
      <c r="C6" s="4" t="s">
        <v>38</v>
      </c>
      <c r="D6" s="12">
        <v>200</v>
      </c>
      <c r="E6" s="4" t="s">
        <v>4</v>
      </c>
      <c r="F6" s="64" t="s">
        <v>4</v>
      </c>
      <c r="G6" s="23"/>
      <c r="H6" s="11">
        <v>46113</v>
      </c>
      <c r="K6" t="s">
        <v>51</v>
      </c>
      <c r="N6" s="61"/>
      <c r="X6" s="7"/>
      <c r="Y6" s="7"/>
      <c r="Z6" s="1">
        <f>SUM(Tabela404657769411213014816639101742916[[#This Row],[LEANDRO TR]:[PAULO]])</f>
        <v>0</v>
      </c>
    </row>
    <row r="7" spans="1:28" ht="15.75" x14ac:dyDescent="0.25">
      <c r="A7" s="5" t="s">
        <v>825</v>
      </c>
      <c r="B7" s="4" t="s">
        <v>15</v>
      </c>
      <c r="C7" s="4" t="s">
        <v>15</v>
      </c>
      <c r="D7" s="121">
        <v>460.66</v>
      </c>
      <c r="E7" s="4" t="s">
        <v>4</v>
      </c>
      <c r="F7" s="64" t="s">
        <v>4</v>
      </c>
      <c r="G7" s="53" t="s">
        <v>612</v>
      </c>
      <c r="H7" s="120">
        <v>46113</v>
      </c>
      <c r="K7" t="s">
        <v>52</v>
      </c>
      <c r="P7" s="61"/>
      <c r="X7" s="7"/>
      <c r="Y7" s="7"/>
      <c r="Z7" s="1">
        <f>SUM(Tabela404657769411213014816639101742916[[#This Row],[LEANDRO TR]:[PAULO]])</f>
        <v>0</v>
      </c>
      <c r="AA7" s="7"/>
    </row>
    <row r="8" spans="1:28" ht="15.75" x14ac:dyDescent="0.25">
      <c r="A8" s="5" t="s">
        <v>323</v>
      </c>
      <c r="B8" s="4" t="s">
        <v>136</v>
      </c>
      <c r="C8" s="4" t="s">
        <v>39</v>
      </c>
      <c r="D8" s="121">
        <v>250.39</v>
      </c>
      <c r="E8" s="4" t="s">
        <v>4</v>
      </c>
      <c r="F8" s="64" t="s">
        <v>4</v>
      </c>
      <c r="G8" s="53" t="s">
        <v>612</v>
      </c>
      <c r="H8" s="120">
        <v>46113</v>
      </c>
      <c r="K8" t="s">
        <v>54</v>
      </c>
      <c r="L8" s="61"/>
      <c r="X8" s="7"/>
      <c r="Y8" s="7"/>
      <c r="Z8" s="1">
        <f>SUM(Tabela404657769411213014816639101742916[[#This Row],[LEANDRO TR]:[PAULO]])</f>
        <v>0</v>
      </c>
      <c r="AA8" s="7"/>
    </row>
    <row r="9" spans="1:28" ht="15.75" x14ac:dyDescent="0.25">
      <c r="A9" s="5" t="s">
        <v>828</v>
      </c>
      <c r="B9" s="4" t="s">
        <v>148</v>
      </c>
      <c r="C9" s="4" t="s">
        <v>38</v>
      </c>
      <c r="D9" s="12">
        <v>1000</v>
      </c>
      <c r="E9" s="4" t="s">
        <v>4</v>
      </c>
      <c r="F9" s="64" t="s">
        <v>4</v>
      </c>
      <c r="G9" s="23"/>
      <c r="H9" s="11">
        <v>46113</v>
      </c>
      <c r="K9" t="s">
        <v>56</v>
      </c>
      <c r="R9" s="1"/>
      <c r="U9" s="1"/>
      <c r="X9" s="7"/>
      <c r="Y9" s="7"/>
      <c r="Z9" s="1">
        <f>SUM(Tabela404657769411213014816639101742916[[#This Row],[LEANDRO TR]:[PAULO]])</f>
        <v>0</v>
      </c>
      <c r="AA9" s="7"/>
    </row>
    <row r="10" spans="1:28" ht="15.75" x14ac:dyDescent="0.25">
      <c r="A10" s="5" t="s">
        <v>823</v>
      </c>
      <c r="B10" s="4" t="s">
        <v>826</v>
      </c>
      <c r="C10" s="4" t="s">
        <v>38</v>
      </c>
      <c r="D10" s="121">
        <v>119.9</v>
      </c>
      <c r="E10" s="4" t="s">
        <v>4</v>
      </c>
      <c r="F10" s="64" t="s">
        <v>4</v>
      </c>
      <c r="G10" s="53" t="s">
        <v>833</v>
      </c>
      <c r="H10" s="120">
        <v>46113</v>
      </c>
      <c r="K10" t="s">
        <v>59</v>
      </c>
      <c r="S10" s="1"/>
      <c r="X10" s="7"/>
      <c r="Y10" s="7"/>
      <c r="Z10" s="1">
        <f>SUM(Tabela404657769411213014816639101742916[[#This Row],[LEANDRO TR]:[PAULO]])</f>
        <v>0</v>
      </c>
      <c r="AA10" s="7"/>
    </row>
    <row r="11" spans="1:28" ht="15.75" x14ac:dyDescent="0.25">
      <c r="A11" s="5" t="s">
        <v>831</v>
      </c>
      <c r="B11" s="4" t="s">
        <v>135</v>
      </c>
      <c r="C11" s="4" t="s">
        <v>38</v>
      </c>
      <c r="D11" s="121">
        <v>98.24</v>
      </c>
      <c r="E11" s="4" t="s">
        <v>4</v>
      </c>
      <c r="F11" s="64" t="s">
        <v>4</v>
      </c>
      <c r="G11" s="119"/>
      <c r="H11" s="120">
        <v>46113</v>
      </c>
      <c r="K11" t="s">
        <v>60</v>
      </c>
      <c r="T11" s="1"/>
      <c r="X11" s="7"/>
      <c r="Y11" s="7"/>
      <c r="Z11" s="1">
        <f>SUM(Tabela404657769411213014816639101742916[[#This Row],[LEANDRO TR]:[PAULO]])</f>
        <v>0</v>
      </c>
      <c r="AA11" s="7"/>
    </row>
    <row r="12" spans="1:28" ht="15.75" x14ac:dyDescent="0.25">
      <c r="A12" s="5" t="s">
        <v>832</v>
      </c>
      <c r="B12" s="4" t="s">
        <v>135</v>
      </c>
      <c r="C12" s="4" t="s">
        <v>38</v>
      </c>
      <c r="D12" s="121">
        <v>100</v>
      </c>
      <c r="E12" s="4" t="s">
        <v>4</v>
      </c>
      <c r="F12" s="64" t="s">
        <v>4</v>
      </c>
      <c r="G12" s="119"/>
      <c r="H12" s="120">
        <v>46113</v>
      </c>
      <c r="K12" t="s">
        <v>62</v>
      </c>
      <c r="X12" s="7"/>
      <c r="Y12" s="7"/>
      <c r="Z12" s="1">
        <f>SUM(Tabela404657769411213014816639101742916[[#This Row],[LEANDRO TR]:[PAULO]])</f>
        <v>0</v>
      </c>
      <c r="AA12" s="7"/>
    </row>
    <row r="13" spans="1:28" ht="15.75" x14ac:dyDescent="0.25">
      <c r="A13" s="5" t="s">
        <v>827</v>
      </c>
      <c r="B13" s="4" t="s">
        <v>138</v>
      </c>
      <c r="C13" s="4" t="s">
        <v>39</v>
      </c>
      <c r="D13" s="33">
        <v>285.87</v>
      </c>
      <c r="E13" s="4" t="s">
        <v>4</v>
      </c>
      <c r="F13" s="64" t="s">
        <v>4</v>
      </c>
      <c r="G13" s="53" t="s">
        <v>824</v>
      </c>
      <c r="H13" s="94">
        <v>46113</v>
      </c>
      <c r="K13" t="s">
        <v>63</v>
      </c>
      <c r="M13" s="1"/>
      <c r="N13" s="1"/>
      <c r="O13" s="1"/>
      <c r="R13" s="1"/>
      <c r="X13" s="7"/>
      <c r="Y13" s="7"/>
      <c r="Z13" s="1">
        <f>SUM(Tabela404657769411213014816639101742916[[#This Row],[LEANDRO TR]:[PAULO]])</f>
        <v>0</v>
      </c>
      <c r="AA13" s="7"/>
    </row>
    <row r="14" spans="1:28" ht="15.75" x14ac:dyDescent="0.25">
      <c r="A14" s="5" t="s">
        <v>835</v>
      </c>
      <c r="B14" s="117"/>
      <c r="C14" s="4" t="s">
        <v>38</v>
      </c>
      <c r="D14" s="121">
        <v>384.98</v>
      </c>
      <c r="E14" s="4" t="s">
        <v>4</v>
      </c>
      <c r="F14" s="64" t="s">
        <v>4</v>
      </c>
      <c r="G14" s="23" t="s">
        <v>69</v>
      </c>
      <c r="H14" s="120">
        <v>46113</v>
      </c>
      <c r="K14" t="s">
        <v>64</v>
      </c>
      <c r="V14" s="7"/>
      <c r="X14" s="7"/>
      <c r="Y14" s="7"/>
      <c r="Z14" s="1">
        <f>SUM(Tabela404657769411213014816639101742916[[#This Row],[LEANDRO TR]:[PAULO]])</f>
        <v>0</v>
      </c>
      <c r="AA14" s="7"/>
    </row>
    <row r="15" spans="1:28" ht="15.75" x14ac:dyDescent="0.25">
      <c r="A15" s="5" t="s">
        <v>836</v>
      </c>
      <c r="B15" s="117"/>
      <c r="C15" s="117"/>
      <c r="D15" s="123">
        <v>-123</v>
      </c>
      <c r="E15" s="117"/>
      <c r="F15" s="64" t="s">
        <v>69</v>
      </c>
      <c r="G15" s="119"/>
      <c r="H15" s="120"/>
      <c r="K15" t="s">
        <v>67</v>
      </c>
      <c r="U15" s="1"/>
      <c r="X15" s="7"/>
      <c r="Y15" s="7"/>
      <c r="Z15" s="1">
        <f>SUM(Tabela404657769411213014816639101742916[[#This Row],[LEANDRO TR]:[PAULO]])</f>
        <v>0</v>
      </c>
    </row>
    <row r="16" spans="1:28" ht="15.75" x14ac:dyDescent="0.25">
      <c r="A16" s="5" t="s">
        <v>851</v>
      </c>
      <c r="B16" s="4" t="s">
        <v>148</v>
      </c>
      <c r="C16" s="4" t="s">
        <v>38</v>
      </c>
      <c r="D16" s="121">
        <v>70</v>
      </c>
      <c r="E16" s="4" t="s">
        <v>4</v>
      </c>
      <c r="F16" s="64" t="s">
        <v>4</v>
      </c>
      <c r="G16" s="119"/>
      <c r="H16" s="11">
        <v>46114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ht="15.75" x14ac:dyDescent="0.25">
      <c r="A17" s="5" t="s">
        <v>856</v>
      </c>
      <c r="B17" s="4" t="s">
        <v>148</v>
      </c>
      <c r="C17" s="4" t="s">
        <v>84</v>
      </c>
      <c r="D17" s="121">
        <v>8</v>
      </c>
      <c r="E17" s="4" t="s">
        <v>4</v>
      </c>
      <c r="F17" s="64" t="s">
        <v>4</v>
      </c>
      <c r="G17" s="119"/>
      <c r="H17" s="11">
        <v>46114</v>
      </c>
      <c r="K17" s="18" t="s">
        <v>0</v>
      </c>
      <c r="L17" s="19">
        <f t="shared" ref="L17:Z17" si="0">SUM(L3:L16)</f>
        <v>0</v>
      </c>
      <c r="M17" s="19">
        <f t="shared" si="0"/>
        <v>0</v>
      </c>
      <c r="N17" s="19">
        <f t="shared" si="0"/>
        <v>0</v>
      </c>
      <c r="O17" s="19">
        <f t="shared" si="0"/>
        <v>0</v>
      </c>
      <c r="P17" s="19">
        <f t="shared" si="0"/>
        <v>0</v>
      </c>
      <c r="Q17" s="19">
        <f>SUM(Q3:Q16)</f>
        <v>0</v>
      </c>
      <c r="R17" s="19">
        <f t="shared" si="0"/>
        <v>0</v>
      </c>
      <c r="S17" s="19">
        <f t="shared" si="0"/>
        <v>0</v>
      </c>
      <c r="T17" s="19">
        <f t="shared" si="0"/>
        <v>0</v>
      </c>
      <c r="U17" s="19">
        <f t="shared" si="0"/>
        <v>0</v>
      </c>
      <c r="V17" s="19">
        <f t="shared" si="0"/>
        <v>0</v>
      </c>
      <c r="W17" s="19">
        <f t="shared" si="0"/>
        <v>0</v>
      </c>
      <c r="X17" s="19">
        <f>SUM(X3:X16)</f>
        <v>0</v>
      </c>
      <c r="Y17" s="19">
        <f t="shared" si="0"/>
        <v>0</v>
      </c>
      <c r="Z17" s="19">
        <f t="shared" si="0"/>
        <v>0</v>
      </c>
    </row>
    <row r="18" spans="1:27" ht="15.75" x14ac:dyDescent="0.25">
      <c r="A18" s="5" t="s">
        <v>857</v>
      </c>
      <c r="B18" s="4" t="s">
        <v>148</v>
      </c>
      <c r="C18" s="4" t="s">
        <v>84</v>
      </c>
      <c r="D18" s="12">
        <v>8</v>
      </c>
      <c r="E18" s="4" t="s">
        <v>4</v>
      </c>
      <c r="F18" s="64" t="s">
        <v>4</v>
      </c>
      <c r="G18" s="23"/>
      <c r="H18" s="11">
        <v>46114</v>
      </c>
      <c r="K18" s="34" t="s">
        <v>131</v>
      </c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>
        <f>SUM(Tabela404657769411213014816639101742916[[#This Row],[LEANDRO TR]:[PAULO]])</f>
        <v>0</v>
      </c>
    </row>
    <row r="19" spans="1:27" ht="15.75" x14ac:dyDescent="0.25">
      <c r="A19" s="5" t="s">
        <v>858</v>
      </c>
      <c r="B19" s="4" t="s">
        <v>148</v>
      </c>
      <c r="C19" s="4" t="s">
        <v>84</v>
      </c>
      <c r="D19" s="12">
        <v>8</v>
      </c>
      <c r="E19" s="4" t="s">
        <v>4</v>
      </c>
      <c r="F19" s="64" t="s">
        <v>4</v>
      </c>
      <c r="G19" s="23"/>
      <c r="H19" s="11">
        <v>46114</v>
      </c>
      <c r="K19" s="20" t="s">
        <v>68</v>
      </c>
      <c r="L19" s="21">
        <f>(900)-(L17-L18)</f>
        <v>900</v>
      </c>
      <c r="M19" s="21">
        <f t="shared" ref="M19:Y19" si="1">(900)-(M17-M18)</f>
        <v>900</v>
      </c>
      <c r="N19" s="21">
        <f t="shared" si="1"/>
        <v>900</v>
      </c>
      <c r="O19" s="21">
        <f t="shared" si="1"/>
        <v>900</v>
      </c>
      <c r="P19" s="21">
        <f t="shared" si="1"/>
        <v>900</v>
      </c>
      <c r="Q19" s="21">
        <f t="shared" si="1"/>
        <v>900</v>
      </c>
      <c r="R19" s="21">
        <f t="shared" si="1"/>
        <v>900</v>
      </c>
      <c r="S19" s="21">
        <f t="shared" si="1"/>
        <v>900</v>
      </c>
      <c r="T19" s="21">
        <f t="shared" si="1"/>
        <v>900</v>
      </c>
      <c r="U19" s="21">
        <f t="shared" si="1"/>
        <v>900</v>
      </c>
      <c r="V19" s="21">
        <f t="shared" si="1"/>
        <v>900</v>
      </c>
      <c r="W19" s="21">
        <f t="shared" si="1"/>
        <v>900</v>
      </c>
      <c r="X19" s="21">
        <f t="shared" si="1"/>
        <v>900</v>
      </c>
      <c r="Y19" s="21">
        <f t="shared" si="1"/>
        <v>900</v>
      </c>
      <c r="Z19" s="22">
        <f>SUM(Tabela404657769411213014816639101742916[[#This Row],[LEANDRO TR]:[PAULO]])</f>
        <v>12600</v>
      </c>
    </row>
    <row r="20" spans="1:27" ht="15.75" x14ac:dyDescent="0.25">
      <c r="A20" s="5" t="s">
        <v>838</v>
      </c>
      <c r="B20" s="4" t="s">
        <v>148</v>
      </c>
      <c r="C20" s="4" t="s">
        <v>39</v>
      </c>
      <c r="D20" s="12">
        <v>438</v>
      </c>
      <c r="E20" s="4" t="s">
        <v>4</v>
      </c>
      <c r="F20" s="64" t="s">
        <v>4</v>
      </c>
      <c r="G20" s="23"/>
      <c r="H20" s="11">
        <v>46114</v>
      </c>
      <c r="O20" s="7"/>
    </row>
    <row r="21" spans="1:27" ht="16.5" customHeight="1" x14ac:dyDescent="0.3">
      <c r="A21" s="5" t="s">
        <v>839</v>
      </c>
      <c r="B21" s="4" t="s">
        <v>15</v>
      </c>
      <c r="C21" s="4" t="s">
        <v>15</v>
      </c>
      <c r="D21" s="12">
        <v>350</v>
      </c>
      <c r="E21" s="4" t="s">
        <v>4</v>
      </c>
      <c r="F21" s="64" t="s">
        <v>4</v>
      </c>
      <c r="G21" s="23"/>
      <c r="H21" s="11">
        <v>46114</v>
      </c>
      <c r="K21" s="134" t="s">
        <v>107</v>
      </c>
      <c r="L21" s="135"/>
      <c r="M21" s="135"/>
      <c r="N21" s="135"/>
      <c r="O21" s="135"/>
      <c r="P21" s="135"/>
      <c r="Q21" s="135"/>
      <c r="R21" s="135"/>
      <c r="S21" s="7"/>
    </row>
    <row r="22" spans="1:27" ht="15.75" x14ac:dyDescent="0.25">
      <c r="A22" s="5" t="s">
        <v>841</v>
      </c>
      <c r="B22" s="4" t="s">
        <v>15</v>
      </c>
      <c r="C22" s="4" t="s">
        <v>15</v>
      </c>
      <c r="D22" s="12">
        <v>500</v>
      </c>
      <c r="E22" s="4" t="s">
        <v>4</v>
      </c>
      <c r="F22" s="64" t="s">
        <v>4</v>
      </c>
      <c r="G22" s="23"/>
      <c r="H22" s="11">
        <v>46114</v>
      </c>
      <c r="K22" t="s">
        <v>45</v>
      </c>
      <c r="L22" t="s">
        <v>163</v>
      </c>
      <c r="M22" t="s">
        <v>6</v>
      </c>
      <c r="N22" t="s">
        <v>162</v>
      </c>
      <c r="O22" t="s">
        <v>108</v>
      </c>
      <c r="P22" t="s">
        <v>182</v>
      </c>
      <c r="Q22" t="s">
        <v>164</v>
      </c>
      <c r="R22" t="s">
        <v>168</v>
      </c>
      <c r="X22" s="7"/>
      <c r="Y22" s="7"/>
      <c r="Z22" s="7"/>
      <c r="AA22" s="7"/>
    </row>
    <row r="23" spans="1:27" ht="15.75" x14ac:dyDescent="0.25">
      <c r="A23" s="5" t="s">
        <v>842</v>
      </c>
      <c r="B23" s="4" t="s">
        <v>15</v>
      </c>
      <c r="C23" s="4" t="s">
        <v>15</v>
      </c>
      <c r="D23" s="121">
        <v>550</v>
      </c>
      <c r="E23" s="4" t="s">
        <v>4</v>
      </c>
      <c r="F23" s="64" t="s">
        <v>4</v>
      </c>
      <c r="G23" s="119"/>
      <c r="H23" s="120">
        <v>46114</v>
      </c>
      <c r="K23" t="s">
        <v>46</v>
      </c>
      <c r="L23" t="s">
        <v>165</v>
      </c>
      <c r="M23" s="1">
        <v>332.63</v>
      </c>
      <c r="N23" s="3">
        <v>46316</v>
      </c>
      <c r="O23" t="s">
        <v>177</v>
      </c>
      <c r="P23" t="s">
        <v>184</v>
      </c>
      <c r="Q23" t="s">
        <v>166</v>
      </c>
      <c r="R23" t="s">
        <v>169</v>
      </c>
    </row>
    <row r="24" spans="1:27" ht="15.75" x14ac:dyDescent="0.25">
      <c r="A24" s="5" t="s">
        <v>840</v>
      </c>
      <c r="B24" s="4" t="s">
        <v>15</v>
      </c>
      <c r="C24" s="4" t="s">
        <v>15</v>
      </c>
      <c r="D24" s="12">
        <v>600</v>
      </c>
      <c r="E24" s="4" t="s">
        <v>4</v>
      </c>
      <c r="F24" s="64" t="s">
        <v>4</v>
      </c>
      <c r="G24" s="23"/>
      <c r="H24" s="11">
        <v>46114</v>
      </c>
      <c r="K24" t="s">
        <v>47</v>
      </c>
      <c r="L24" t="s">
        <v>165</v>
      </c>
      <c r="M24" s="1">
        <v>245.75</v>
      </c>
      <c r="N24" s="3">
        <v>46284</v>
      </c>
      <c r="O24" t="s">
        <v>177</v>
      </c>
      <c r="P24" t="s">
        <v>184</v>
      </c>
      <c r="Q24" t="s">
        <v>166</v>
      </c>
      <c r="R24" t="s">
        <v>169</v>
      </c>
    </row>
    <row r="25" spans="1:27" ht="15.75" x14ac:dyDescent="0.25">
      <c r="A25" s="5" t="s">
        <v>844</v>
      </c>
      <c r="B25" s="4" t="s">
        <v>15</v>
      </c>
      <c r="C25" s="4" t="s">
        <v>15</v>
      </c>
      <c r="D25" s="12">
        <v>650</v>
      </c>
      <c r="E25" s="4" t="s">
        <v>4</v>
      </c>
      <c r="F25" s="64" t="s">
        <v>4</v>
      </c>
      <c r="G25" s="23"/>
      <c r="H25" s="11">
        <v>46114</v>
      </c>
      <c r="K25" t="s">
        <v>48</v>
      </c>
      <c r="L25" t="s">
        <v>167</v>
      </c>
      <c r="M25" s="1">
        <v>195.16</v>
      </c>
      <c r="N25" s="3">
        <v>46311</v>
      </c>
      <c r="O25" t="s">
        <v>177</v>
      </c>
      <c r="P25" t="s">
        <v>184</v>
      </c>
      <c r="Q25" t="s">
        <v>166</v>
      </c>
      <c r="R25" t="s">
        <v>169</v>
      </c>
      <c r="T25" s="7"/>
    </row>
    <row r="26" spans="1:27" ht="15.75" x14ac:dyDescent="0.25">
      <c r="A26" s="5" t="s">
        <v>843</v>
      </c>
      <c r="B26" s="4" t="s">
        <v>15</v>
      </c>
      <c r="C26" s="4" t="s">
        <v>15</v>
      </c>
      <c r="D26" s="121">
        <v>500</v>
      </c>
      <c r="E26" s="4" t="s">
        <v>4</v>
      </c>
      <c r="F26" s="64" t="s">
        <v>4</v>
      </c>
      <c r="G26" s="119"/>
      <c r="H26" s="120">
        <v>46114</v>
      </c>
      <c r="K26" t="s">
        <v>51</v>
      </c>
      <c r="L26" t="s">
        <v>170</v>
      </c>
      <c r="M26" s="1">
        <v>267.10000000000002</v>
      </c>
      <c r="N26" s="3">
        <v>46232</v>
      </c>
      <c r="O26" t="s">
        <v>177</v>
      </c>
      <c r="P26" t="s">
        <v>184</v>
      </c>
      <c r="Q26" t="s">
        <v>166</v>
      </c>
      <c r="R26" t="s">
        <v>169</v>
      </c>
    </row>
    <row r="27" spans="1:27" ht="15.75" x14ac:dyDescent="0.25">
      <c r="A27" s="5" t="s">
        <v>845</v>
      </c>
      <c r="B27" s="4" t="s">
        <v>15</v>
      </c>
      <c r="C27" s="4" t="s">
        <v>15</v>
      </c>
      <c r="D27" s="121">
        <v>550</v>
      </c>
      <c r="E27" s="4" t="s">
        <v>4</v>
      </c>
      <c r="F27" s="64" t="s">
        <v>4</v>
      </c>
      <c r="G27" s="119"/>
      <c r="H27" s="120">
        <v>46114</v>
      </c>
      <c r="K27" t="s">
        <v>52</v>
      </c>
      <c r="L27" t="s">
        <v>170</v>
      </c>
      <c r="M27" s="1">
        <v>210.78</v>
      </c>
      <c r="N27" s="3">
        <v>46196</v>
      </c>
      <c r="O27" t="s">
        <v>178</v>
      </c>
      <c r="P27" t="s">
        <v>183</v>
      </c>
      <c r="Q27" t="s">
        <v>172</v>
      </c>
      <c r="R27" t="s">
        <v>169</v>
      </c>
    </row>
    <row r="28" spans="1:27" ht="15.75" x14ac:dyDescent="0.25">
      <c r="A28" s="5" t="s">
        <v>846</v>
      </c>
      <c r="B28" s="4" t="s">
        <v>15</v>
      </c>
      <c r="C28" s="4" t="s">
        <v>15</v>
      </c>
      <c r="D28" s="121">
        <v>300</v>
      </c>
      <c r="E28" s="4" t="s">
        <v>4</v>
      </c>
      <c r="F28" s="64" t="s">
        <v>4</v>
      </c>
      <c r="G28" s="119"/>
      <c r="H28" s="120">
        <v>46114</v>
      </c>
      <c r="K28" t="s">
        <v>54</v>
      </c>
      <c r="L28" t="s">
        <v>170</v>
      </c>
      <c r="M28" s="1">
        <v>187.73</v>
      </c>
      <c r="N28" s="3">
        <v>46145</v>
      </c>
      <c r="O28" t="s">
        <v>176</v>
      </c>
      <c r="P28" t="s">
        <v>183</v>
      </c>
      <c r="R28" t="s">
        <v>169</v>
      </c>
    </row>
    <row r="29" spans="1:27" ht="15.75" x14ac:dyDescent="0.25">
      <c r="A29" s="5" t="s">
        <v>847</v>
      </c>
      <c r="B29" s="4" t="s">
        <v>15</v>
      </c>
      <c r="C29" s="4" t="s">
        <v>15</v>
      </c>
      <c r="D29" s="121">
        <v>500</v>
      </c>
      <c r="E29" s="4" t="s">
        <v>4</v>
      </c>
      <c r="F29" s="64" t="s">
        <v>4</v>
      </c>
      <c r="G29" s="119"/>
      <c r="H29" s="120">
        <v>46114</v>
      </c>
      <c r="K29" t="s">
        <v>56</v>
      </c>
      <c r="L29" t="s">
        <v>173</v>
      </c>
      <c r="M29" s="1">
        <v>273.82</v>
      </c>
      <c r="N29" s="3">
        <v>46226</v>
      </c>
      <c r="O29" t="s">
        <v>109</v>
      </c>
      <c r="P29" t="s">
        <v>183</v>
      </c>
      <c r="Q29" t="s">
        <v>174</v>
      </c>
      <c r="R29" t="s">
        <v>169</v>
      </c>
    </row>
    <row r="30" spans="1:27" ht="15.75" x14ac:dyDescent="0.25">
      <c r="A30" s="5" t="s">
        <v>848</v>
      </c>
      <c r="B30" s="4" t="s">
        <v>15</v>
      </c>
      <c r="C30" s="4" t="s">
        <v>15</v>
      </c>
      <c r="D30" s="121">
        <v>350</v>
      </c>
      <c r="E30" s="4" t="s">
        <v>4</v>
      </c>
      <c r="F30" s="64" t="s">
        <v>4</v>
      </c>
      <c r="G30" s="119"/>
      <c r="H30" s="120">
        <v>46114</v>
      </c>
      <c r="K30" t="s">
        <v>59</v>
      </c>
      <c r="L30" t="s">
        <v>167</v>
      </c>
      <c r="M30" s="1">
        <v>263.5</v>
      </c>
      <c r="N30" s="3">
        <v>46319</v>
      </c>
      <c r="O30" t="s">
        <v>177</v>
      </c>
      <c r="P30" t="s">
        <v>184</v>
      </c>
      <c r="Q30" t="s">
        <v>166</v>
      </c>
      <c r="R30" t="s">
        <v>169</v>
      </c>
    </row>
    <row r="31" spans="1:27" ht="15.75" x14ac:dyDescent="0.25">
      <c r="A31" s="5" t="s">
        <v>849</v>
      </c>
      <c r="B31" s="4" t="s">
        <v>15</v>
      </c>
      <c r="C31" s="4" t="s">
        <v>15</v>
      </c>
      <c r="D31" s="121">
        <v>300</v>
      </c>
      <c r="E31" s="4" t="s">
        <v>4</v>
      </c>
      <c r="F31" s="64" t="s">
        <v>4</v>
      </c>
      <c r="G31" s="119"/>
      <c r="H31" s="120">
        <v>46114</v>
      </c>
      <c r="K31" t="s">
        <v>60</v>
      </c>
      <c r="L31" t="s">
        <v>170</v>
      </c>
      <c r="M31" s="1">
        <v>282.75</v>
      </c>
      <c r="N31" s="3">
        <v>46263</v>
      </c>
      <c r="O31" t="s">
        <v>177</v>
      </c>
      <c r="P31" t="s">
        <v>184</v>
      </c>
      <c r="Q31" s="40" t="s">
        <v>166</v>
      </c>
      <c r="R31" t="s">
        <v>169</v>
      </c>
    </row>
    <row r="32" spans="1:27" ht="15.75" x14ac:dyDescent="0.25">
      <c r="A32" s="5" t="s">
        <v>850</v>
      </c>
      <c r="B32" s="4" t="s">
        <v>148</v>
      </c>
      <c r="C32" s="4" t="s">
        <v>39</v>
      </c>
      <c r="D32" s="121">
        <v>70</v>
      </c>
      <c r="E32" s="4" t="s">
        <v>4</v>
      </c>
      <c r="F32" s="64" t="s">
        <v>4</v>
      </c>
      <c r="G32" s="119"/>
      <c r="H32" s="120">
        <v>46114</v>
      </c>
      <c r="K32" t="s">
        <v>62</v>
      </c>
      <c r="L32" t="s">
        <v>179</v>
      </c>
      <c r="M32" s="1">
        <v>601.11</v>
      </c>
      <c r="N32" s="3">
        <v>46205</v>
      </c>
      <c r="O32" t="s">
        <v>180</v>
      </c>
      <c r="P32" t="s">
        <v>183</v>
      </c>
      <c r="Q32" t="s">
        <v>174</v>
      </c>
      <c r="R32" t="s">
        <v>171</v>
      </c>
    </row>
    <row r="33" spans="1:20" ht="15.75" x14ac:dyDescent="0.25">
      <c r="A33" s="5" t="s">
        <v>860</v>
      </c>
      <c r="B33" s="4" t="s">
        <v>148</v>
      </c>
      <c r="C33" s="4" t="s">
        <v>39</v>
      </c>
      <c r="D33" s="121">
        <v>245</v>
      </c>
      <c r="E33" s="4" t="s">
        <v>4</v>
      </c>
      <c r="F33" s="64" t="s">
        <v>4</v>
      </c>
      <c r="G33" s="119"/>
      <c r="H33" s="120">
        <v>46114</v>
      </c>
      <c r="K33" t="s">
        <v>63</v>
      </c>
      <c r="L33" t="s">
        <v>173</v>
      </c>
      <c r="M33" s="1">
        <v>252.04</v>
      </c>
      <c r="N33" s="3">
        <v>46394</v>
      </c>
      <c r="O33" t="s">
        <v>177</v>
      </c>
      <c r="P33" t="s">
        <v>183</v>
      </c>
      <c r="Q33" t="s">
        <v>166</v>
      </c>
      <c r="R33" t="s">
        <v>175</v>
      </c>
    </row>
    <row r="34" spans="1:20" ht="15.75" x14ac:dyDescent="0.25">
      <c r="A34" s="5" t="s">
        <v>854</v>
      </c>
      <c r="B34" s="4" t="s">
        <v>148</v>
      </c>
      <c r="C34" s="4" t="s">
        <v>38</v>
      </c>
      <c r="D34" s="121">
        <v>195.91</v>
      </c>
      <c r="E34" s="4" t="s">
        <v>4</v>
      </c>
      <c r="F34" s="64" t="s">
        <v>4</v>
      </c>
      <c r="G34" s="23" t="s">
        <v>852</v>
      </c>
      <c r="H34" s="120">
        <v>46114</v>
      </c>
      <c r="K34" t="s">
        <v>64</v>
      </c>
      <c r="L34" t="s">
        <v>170</v>
      </c>
      <c r="M34" s="1">
        <v>208.96</v>
      </c>
      <c r="N34" s="3">
        <v>46320</v>
      </c>
      <c r="O34" t="s">
        <v>177</v>
      </c>
      <c r="P34" t="s">
        <v>184</v>
      </c>
      <c r="Q34" t="s">
        <v>166</v>
      </c>
      <c r="R34" t="s">
        <v>171</v>
      </c>
    </row>
    <row r="35" spans="1:20" ht="15.75" x14ac:dyDescent="0.25">
      <c r="A35" s="5" t="s">
        <v>855</v>
      </c>
      <c r="B35" s="4" t="s">
        <v>148</v>
      </c>
      <c r="C35" s="4" t="s">
        <v>38</v>
      </c>
      <c r="D35" s="121">
        <v>195.91</v>
      </c>
      <c r="E35" s="4" t="s">
        <v>4</v>
      </c>
      <c r="F35" s="64" t="s">
        <v>4</v>
      </c>
      <c r="G35" s="23" t="s">
        <v>852</v>
      </c>
      <c r="H35" s="120">
        <v>46114</v>
      </c>
      <c r="K35" t="s">
        <v>67</v>
      </c>
      <c r="L35" t="s">
        <v>167</v>
      </c>
      <c r="M35" s="1">
        <v>351.26</v>
      </c>
      <c r="N35" s="3">
        <v>46186</v>
      </c>
      <c r="O35" t="s">
        <v>178</v>
      </c>
      <c r="P35" t="s">
        <v>183</v>
      </c>
      <c r="Q35" t="s">
        <v>172</v>
      </c>
      <c r="R35" t="s">
        <v>171</v>
      </c>
    </row>
    <row r="36" spans="1:20" ht="15.75" x14ac:dyDescent="0.25">
      <c r="A36" s="5" t="s">
        <v>853</v>
      </c>
      <c r="B36" s="4" t="s">
        <v>148</v>
      </c>
      <c r="C36" s="4" t="s">
        <v>38</v>
      </c>
      <c r="D36" s="121">
        <v>213.73</v>
      </c>
      <c r="E36" s="4" t="s">
        <v>4</v>
      </c>
      <c r="F36" s="64" t="s">
        <v>4</v>
      </c>
      <c r="G36" s="23" t="s">
        <v>852</v>
      </c>
      <c r="H36" s="120">
        <v>46114</v>
      </c>
      <c r="K36" t="s">
        <v>113</v>
      </c>
      <c r="M36" s="1">
        <v>262.69</v>
      </c>
      <c r="N36" s="3"/>
      <c r="O36" t="s">
        <v>109</v>
      </c>
    </row>
    <row r="37" spans="1:20" ht="15.75" x14ac:dyDescent="0.25">
      <c r="A37" s="5" t="s">
        <v>861</v>
      </c>
      <c r="B37" s="4" t="s">
        <v>148</v>
      </c>
      <c r="C37" s="4" t="s">
        <v>38</v>
      </c>
      <c r="D37" s="121">
        <v>46.71</v>
      </c>
      <c r="E37" s="4" t="s">
        <v>4</v>
      </c>
      <c r="F37" s="64" t="s">
        <v>4</v>
      </c>
      <c r="G37" s="119"/>
      <c r="H37" s="120">
        <v>46114</v>
      </c>
    </row>
    <row r="38" spans="1:20" ht="15.75" x14ac:dyDescent="0.25">
      <c r="A38" s="5" t="s">
        <v>862</v>
      </c>
      <c r="B38" s="4" t="s">
        <v>148</v>
      </c>
      <c r="C38" s="4" t="s">
        <v>38</v>
      </c>
      <c r="D38" s="121">
        <v>13.7</v>
      </c>
      <c r="E38" s="4" t="s">
        <v>881</v>
      </c>
      <c r="F38" s="64" t="s">
        <v>4</v>
      </c>
      <c r="G38" s="119"/>
      <c r="H38" s="120">
        <v>46118</v>
      </c>
    </row>
    <row r="39" spans="1:20" ht="15.75" x14ac:dyDescent="0.25">
      <c r="A39" s="5" t="s">
        <v>16</v>
      </c>
      <c r="B39" s="4" t="s">
        <v>84</v>
      </c>
      <c r="C39" s="4" t="s">
        <v>84</v>
      </c>
      <c r="D39" s="12">
        <v>390</v>
      </c>
      <c r="E39" s="4" t="s">
        <v>4</v>
      </c>
      <c r="F39" s="64" t="s">
        <v>4</v>
      </c>
      <c r="G39" s="67" t="s">
        <v>99</v>
      </c>
      <c r="H39" s="120">
        <v>46118</v>
      </c>
    </row>
    <row r="40" spans="1:20" ht="15.75" x14ac:dyDescent="0.25">
      <c r="A40" s="5" t="s">
        <v>17</v>
      </c>
      <c r="B40" s="4" t="s">
        <v>84</v>
      </c>
      <c r="C40" s="4" t="s">
        <v>84</v>
      </c>
      <c r="D40" s="12">
        <v>390</v>
      </c>
      <c r="E40" s="4" t="s">
        <v>4</v>
      </c>
      <c r="F40" s="64" t="s">
        <v>4</v>
      </c>
      <c r="G40" s="67" t="s">
        <v>99</v>
      </c>
      <c r="H40" s="120">
        <v>46118</v>
      </c>
    </row>
    <row r="41" spans="1:20" ht="15.75" x14ac:dyDescent="0.25">
      <c r="A41" s="5" t="s">
        <v>863</v>
      </c>
      <c r="B41" s="4" t="s">
        <v>136</v>
      </c>
      <c r="C41" s="4" t="s">
        <v>39</v>
      </c>
      <c r="D41" s="121">
        <v>240.5</v>
      </c>
      <c r="E41" s="4" t="s">
        <v>4</v>
      </c>
      <c r="F41" s="64" t="s">
        <v>4</v>
      </c>
      <c r="G41" s="53" t="s">
        <v>99</v>
      </c>
      <c r="H41" s="120">
        <v>46118</v>
      </c>
    </row>
    <row r="42" spans="1:20" ht="16.5" customHeight="1" x14ac:dyDescent="0.3">
      <c r="A42" s="5" t="s">
        <v>30</v>
      </c>
      <c r="B42" s="4" t="s">
        <v>152</v>
      </c>
      <c r="C42" s="4" t="s">
        <v>38</v>
      </c>
      <c r="D42" s="12">
        <v>57.8</v>
      </c>
      <c r="E42" s="4" t="s">
        <v>4</v>
      </c>
      <c r="F42" s="64" t="s">
        <v>4</v>
      </c>
      <c r="G42" s="53" t="s">
        <v>91</v>
      </c>
      <c r="H42" s="120">
        <v>46118</v>
      </c>
      <c r="K42" s="136" t="s">
        <v>145</v>
      </c>
      <c r="L42" s="136"/>
      <c r="M42" s="136"/>
      <c r="N42" s="136"/>
      <c r="O42" s="136"/>
      <c r="P42" s="136"/>
      <c r="Q42" s="136"/>
      <c r="R42" s="136"/>
      <c r="S42" s="136"/>
      <c r="T42" s="136"/>
    </row>
    <row r="43" spans="1:20" ht="15.75" x14ac:dyDescent="0.25">
      <c r="A43" s="5" t="s">
        <v>222</v>
      </c>
      <c r="B43" s="4" t="s">
        <v>133</v>
      </c>
      <c r="C43" s="4" t="s">
        <v>38</v>
      </c>
      <c r="D43" s="12">
        <v>65.88</v>
      </c>
      <c r="E43" s="4" t="s">
        <v>4</v>
      </c>
      <c r="F43" s="64" t="s">
        <v>4</v>
      </c>
      <c r="G43" s="53" t="s">
        <v>95</v>
      </c>
      <c r="H43" s="120">
        <v>46118</v>
      </c>
      <c r="K43" t="s">
        <v>129</v>
      </c>
      <c r="L43" t="s">
        <v>126</v>
      </c>
      <c r="M43" t="s">
        <v>124</v>
      </c>
      <c r="N43" t="s">
        <v>127</v>
      </c>
      <c r="O43" t="s">
        <v>123</v>
      </c>
      <c r="P43" t="s">
        <v>122</v>
      </c>
      <c r="Q43" t="s">
        <v>153</v>
      </c>
      <c r="R43" t="s">
        <v>128</v>
      </c>
      <c r="S43" t="s">
        <v>39</v>
      </c>
      <c r="T43" t="s">
        <v>125</v>
      </c>
    </row>
    <row r="44" spans="1:20" ht="15.75" x14ac:dyDescent="0.25">
      <c r="A44" s="5" t="s">
        <v>864</v>
      </c>
      <c r="B44" s="4" t="s">
        <v>84</v>
      </c>
      <c r="C44" s="4" t="s">
        <v>84</v>
      </c>
      <c r="D44" s="71">
        <v>200.43</v>
      </c>
      <c r="E44" s="4" t="s">
        <v>4</v>
      </c>
      <c r="F44" s="64" t="s">
        <v>4</v>
      </c>
      <c r="G44" s="53" t="s">
        <v>285</v>
      </c>
      <c r="H44" s="120">
        <v>46118</v>
      </c>
      <c r="K44" t="s">
        <v>130</v>
      </c>
      <c r="L44" s="1"/>
      <c r="M44" s="1"/>
      <c r="N44" s="1"/>
      <c r="O44" s="1"/>
      <c r="P44" s="1"/>
      <c r="Q44" s="1"/>
      <c r="R44" s="1"/>
      <c r="S44" s="1"/>
      <c r="T44" s="1"/>
    </row>
    <row r="45" spans="1:20" ht="15.75" x14ac:dyDescent="0.25">
      <c r="A45" s="5" t="s">
        <v>33</v>
      </c>
      <c r="B45" s="4" t="s">
        <v>134</v>
      </c>
      <c r="C45" s="4" t="s">
        <v>38</v>
      </c>
      <c r="D45" s="13">
        <v>99.9</v>
      </c>
      <c r="E45" s="4" t="s">
        <v>4</v>
      </c>
      <c r="F45" s="64" t="s">
        <v>4</v>
      </c>
      <c r="G45" s="53" t="s">
        <v>92</v>
      </c>
      <c r="H45" s="120">
        <v>46118</v>
      </c>
      <c r="K45" t="s">
        <v>133</v>
      </c>
      <c r="L45" s="1"/>
      <c r="M45" s="1"/>
      <c r="N45" s="1"/>
      <c r="O45" s="1"/>
      <c r="P45" s="1"/>
      <c r="Q45" s="1"/>
      <c r="R45" s="1"/>
      <c r="S45" s="1"/>
      <c r="T45" s="1"/>
    </row>
    <row r="46" spans="1:20" ht="15.75" x14ac:dyDescent="0.25">
      <c r="A46" s="5" t="s">
        <v>34</v>
      </c>
      <c r="B46" s="4" t="s">
        <v>134</v>
      </c>
      <c r="C46" s="4" t="s">
        <v>38</v>
      </c>
      <c r="D46" s="28">
        <v>80</v>
      </c>
      <c r="E46" s="4" t="s">
        <v>4</v>
      </c>
      <c r="F46" s="64" t="s">
        <v>4</v>
      </c>
      <c r="G46" s="53" t="s">
        <v>92</v>
      </c>
      <c r="H46" s="11">
        <v>46118</v>
      </c>
      <c r="K46" t="s">
        <v>134</v>
      </c>
      <c r="L46" s="1"/>
      <c r="M46" s="1"/>
      <c r="N46" s="1"/>
      <c r="O46" s="1"/>
      <c r="P46" s="1"/>
      <c r="Q46" s="1"/>
      <c r="R46" s="1"/>
      <c r="S46" s="1"/>
      <c r="T46" s="1"/>
    </row>
    <row r="47" spans="1:20" ht="15.75" x14ac:dyDescent="0.25">
      <c r="A47" s="5" t="s">
        <v>156</v>
      </c>
      <c r="B47" s="4" t="s">
        <v>148</v>
      </c>
      <c r="C47" s="4" t="s">
        <v>38</v>
      </c>
      <c r="D47" s="38">
        <v>600</v>
      </c>
      <c r="E47" s="4" t="s">
        <v>4</v>
      </c>
      <c r="F47" s="64" t="s">
        <v>4</v>
      </c>
      <c r="G47" s="53" t="s">
        <v>92</v>
      </c>
      <c r="H47" s="120">
        <v>46118</v>
      </c>
      <c r="K47" t="s">
        <v>137</v>
      </c>
      <c r="L47" s="1"/>
      <c r="M47" s="1"/>
      <c r="N47" s="1"/>
      <c r="O47" s="1"/>
      <c r="P47" s="1"/>
      <c r="Q47" s="1"/>
      <c r="R47" s="1"/>
      <c r="S47" s="1"/>
      <c r="T47" s="1"/>
    </row>
    <row r="48" spans="1:20" ht="15.75" x14ac:dyDescent="0.25">
      <c r="A48" s="5" t="s">
        <v>865</v>
      </c>
      <c r="B48" s="4" t="s">
        <v>84</v>
      </c>
      <c r="C48" s="4" t="s">
        <v>84</v>
      </c>
      <c r="D48" s="12">
        <v>187.9</v>
      </c>
      <c r="E48" s="4" t="s">
        <v>4</v>
      </c>
      <c r="F48" s="64" t="s">
        <v>4</v>
      </c>
      <c r="G48" s="53" t="s">
        <v>94</v>
      </c>
      <c r="H48" s="120">
        <v>46118</v>
      </c>
      <c r="K48" t="s">
        <v>135</v>
      </c>
      <c r="L48" s="1"/>
      <c r="M48" s="1"/>
      <c r="N48" s="1"/>
      <c r="O48" s="1"/>
      <c r="P48" s="1"/>
      <c r="Q48" s="1"/>
      <c r="R48" s="1"/>
      <c r="S48" s="1"/>
      <c r="T48" s="1"/>
    </row>
    <row r="49" spans="1:20" ht="15.75" x14ac:dyDescent="0.25">
      <c r="A49" s="5" t="s">
        <v>866</v>
      </c>
      <c r="B49" s="4" t="s">
        <v>84</v>
      </c>
      <c r="C49" s="4" t="s">
        <v>84</v>
      </c>
      <c r="D49" s="12">
        <v>172.42</v>
      </c>
      <c r="E49" s="4" t="s">
        <v>4</v>
      </c>
      <c r="F49" s="64" t="s">
        <v>4</v>
      </c>
      <c r="G49" s="53" t="s">
        <v>94</v>
      </c>
      <c r="H49" s="11">
        <v>46118</v>
      </c>
      <c r="K49" t="s">
        <v>136</v>
      </c>
      <c r="L49" s="1"/>
      <c r="M49" s="1"/>
      <c r="N49" s="1"/>
      <c r="O49" s="1"/>
      <c r="P49" s="1"/>
      <c r="Q49" s="1"/>
      <c r="R49" s="1"/>
      <c r="S49" s="1"/>
      <c r="T49" s="1"/>
    </row>
    <row r="50" spans="1:20" ht="15.75" x14ac:dyDescent="0.25">
      <c r="A50" s="5" t="s">
        <v>479</v>
      </c>
      <c r="B50" s="4" t="s">
        <v>84</v>
      </c>
      <c r="C50" s="4" t="s">
        <v>84</v>
      </c>
      <c r="D50" s="71">
        <v>187.9</v>
      </c>
      <c r="E50" s="4" t="s">
        <v>4</v>
      </c>
      <c r="F50" s="64" t="s">
        <v>4</v>
      </c>
      <c r="G50" s="53" t="s">
        <v>94</v>
      </c>
      <c r="H50" s="120">
        <v>46118</v>
      </c>
      <c r="K50" t="s">
        <v>151</v>
      </c>
      <c r="L50" s="1"/>
      <c r="M50" s="1"/>
      <c r="N50" s="1"/>
      <c r="O50" s="1"/>
      <c r="P50" s="1"/>
      <c r="Q50" s="1"/>
      <c r="R50" s="1"/>
      <c r="S50" s="1"/>
      <c r="T50" s="1"/>
    </row>
    <row r="51" spans="1:20" ht="15.75" x14ac:dyDescent="0.25">
      <c r="A51" s="5" t="s">
        <v>867</v>
      </c>
      <c r="B51" s="4" t="s">
        <v>148</v>
      </c>
      <c r="C51" s="4" t="s">
        <v>38</v>
      </c>
      <c r="D51" s="12">
        <v>105</v>
      </c>
      <c r="E51" s="4" t="s">
        <v>4</v>
      </c>
      <c r="F51" s="64" t="s">
        <v>4</v>
      </c>
      <c r="G51" s="53" t="s">
        <v>92</v>
      </c>
      <c r="H51" s="11">
        <v>46118</v>
      </c>
      <c r="K51" t="s">
        <v>138</v>
      </c>
      <c r="L51" s="1"/>
      <c r="M51" s="1"/>
      <c r="N51" s="1"/>
      <c r="O51" s="1"/>
      <c r="P51" s="1"/>
      <c r="Q51" s="1"/>
      <c r="R51" s="1"/>
      <c r="S51" s="1"/>
      <c r="T51" s="1"/>
    </row>
    <row r="52" spans="1:20" ht="15.75" x14ac:dyDescent="0.25">
      <c r="A52" s="5" t="s">
        <v>868</v>
      </c>
      <c r="B52" s="4" t="s">
        <v>148</v>
      </c>
      <c r="C52" s="4" t="s">
        <v>38</v>
      </c>
      <c r="D52" s="12">
        <v>105</v>
      </c>
      <c r="E52" s="4" t="s">
        <v>4</v>
      </c>
      <c r="F52" s="64" t="s">
        <v>4</v>
      </c>
      <c r="G52" s="53" t="s">
        <v>92</v>
      </c>
      <c r="H52" s="11">
        <v>46118</v>
      </c>
      <c r="K52" t="s">
        <v>84</v>
      </c>
      <c r="L52" s="1"/>
      <c r="M52" s="1"/>
      <c r="N52" s="1"/>
      <c r="O52" s="1"/>
      <c r="P52" s="1"/>
      <c r="Q52" s="1"/>
      <c r="R52" s="1"/>
      <c r="S52" s="1"/>
      <c r="T52" s="1"/>
    </row>
    <row r="53" spans="1:20" ht="15.75" x14ac:dyDescent="0.25">
      <c r="A53" s="5" t="s">
        <v>869</v>
      </c>
      <c r="B53" s="4" t="s">
        <v>148</v>
      </c>
      <c r="C53" s="4" t="s">
        <v>38</v>
      </c>
      <c r="D53" s="12">
        <v>90.74</v>
      </c>
      <c r="E53" s="4" t="s">
        <v>4</v>
      </c>
      <c r="F53" s="64" t="s">
        <v>4</v>
      </c>
      <c r="G53" s="53" t="s">
        <v>92</v>
      </c>
      <c r="H53" s="11">
        <v>46118</v>
      </c>
      <c r="K53" t="s">
        <v>139</v>
      </c>
      <c r="L53" s="1"/>
      <c r="M53" s="1"/>
      <c r="N53" s="1"/>
      <c r="O53" s="1"/>
      <c r="P53" s="1"/>
      <c r="Q53" s="1"/>
      <c r="R53" s="1"/>
      <c r="S53" s="1"/>
      <c r="T53" s="1"/>
    </row>
    <row r="54" spans="1:20" ht="15.75" x14ac:dyDescent="0.25">
      <c r="A54" s="5" t="s">
        <v>870</v>
      </c>
      <c r="B54" s="4" t="s">
        <v>148</v>
      </c>
      <c r="C54" s="4" t="s">
        <v>38</v>
      </c>
      <c r="D54" s="86">
        <v>100.82</v>
      </c>
      <c r="E54" s="4" t="s">
        <v>4</v>
      </c>
      <c r="F54" s="64" t="s">
        <v>4</v>
      </c>
      <c r="G54" s="53" t="s">
        <v>92</v>
      </c>
      <c r="H54" s="11">
        <v>46118</v>
      </c>
      <c r="K54" t="s">
        <v>190</v>
      </c>
      <c r="L54" s="1"/>
      <c r="M54" s="1"/>
      <c r="N54" s="1"/>
      <c r="O54" s="1"/>
      <c r="P54" s="1"/>
      <c r="Q54" s="1"/>
      <c r="R54" s="1"/>
      <c r="S54" s="1"/>
      <c r="T54" s="1"/>
    </row>
    <row r="55" spans="1:20" ht="15.75" x14ac:dyDescent="0.25">
      <c r="A55" s="5" t="s">
        <v>871</v>
      </c>
      <c r="B55" s="4" t="s">
        <v>84</v>
      </c>
      <c r="C55" s="4" t="s">
        <v>84</v>
      </c>
      <c r="D55" s="71">
        <v>216.44</v>
      </c>
      <c r="E55" s="4" t="s">
        <v>4</v>
      </c>
      <c r="F55" s="64" t="s">
        <v>4</v>
      </c>
      <c r="G55" s="53" t="s">
        <v>94</v>
      </c>
      <c r="H55" s="11">
        <v>46118</v>
      </c>
      <c r="K55" t="s">
        <v>140</v>
      </c>
      <c r="L55" s="1"/>
      <c r="M55" s="1"/>
      <c r="N55" s="1"/>
      <c r="O55" s="1"/>
      <c r="P55" s="1"/>
      <c r="Q55" s="1"/>
      <c r="R55" s="1"/>
      <c r="S55" s="1"/>
      <c r="T55" s="1"/>
    </row>
    <row r="56" spans="1:20" ht="15" customHeight="1" x14ac:dyDescent="0.25">
      <c r="A56" s="5" t="s">
        <v>872</v>
      </c>
      <c r="B56" s="4" t="s">
        <v>148</v>
      </c>
      <c r="C56" s="4" t="s">
        <v>38</v>
      </c>
      <c r="D56" s="86">
        <v>100.82</v>
      </c>
      <c r="E56" s="4" t="s">
        <v>4</v>
      </c>
      <c r="F56" s="64" t="s">
        <v>4</v>
      </c>
      <c r="G56" s="53" t="s">
        <v>92</v>
      </c>
      <c r="H56" s="11">
        <v>46118</v>
      </c>
      <c r="K56" t="s">
        <v>141</v>
      </c>
      <c r="L56" s="1"/>
      <c r="M56" s="1"/>
      <c r="N56" s="1"/>
      <c r="O56" s="1"/>
      <c r="P56" s="1"/>
      <c r="Q56" s="1"/>
      <c r="R56" s="1"/>
      <c r="S56" s="1"/>
      <c r="T56" s="1"/>
    </row>
    <row r="57" spans="1:20" ht="15.75" x14ac:dyDescent="0.25">
      <c r="A57" s="5" t="s">
        <v>235</v>
      </c>
      <c r="B57" s="4" t="s">
        <v>148</v>
      </c>
      <c r="C57" s="4" t="s">
        <v>38</v>
      </c>
      <c r="D57" s="12">
        <v>1638</v>
      </c>
      <c r="E57" s="4" t="s">
        <v>4</v>
      </c>
      <c r="F57" s="64" t="s">
        <v>4</v>
      </c>
      <c r="G57" s="53" t="s">
        <v>92</v>
      </c>
      <c r="H57" s="120">
        <v>46118</v>
      </c>
      <c r="K57" t="s">
        <v>142</v>
      </c>
      <c r="L57" s="1"/>
      <c r="M57" s="1"/>
      <c r="N57" s="1"/>
      <c r="O57" s="1"/>
      <c r="P57" s="1"/>
      <c r="Q57" s="1"/>
      <c r="R57" s="1"/>
      <c r="S57" s="1"/>
      <c r="T57" s="1"/>
    </row>
    <row r="58" spans="1:20" ht="15.75" customHeight="1" x14ac:dyDescent="0.25">
      <c r="A58" s="5" t="s">
        <v>670</v>
      </c>
      <c r="B58" s="4" t="s">
        <v>148</v>
      </c>
      <c r="C58" s="4" t="s">
        <v>38</v>
      </c>
      <c r="D58" s="86">
        <v>77.17</v>
      </c>
      <c r="E58" s="4" t="s">
        <v>4</v>
      </c>
      <c r="F58" s="64" t="s">
        <v>4</v>
      </c>
      <c r="G58" s="53" t="s">
        <v>92</v>
      </c>
      <c r="H58" s="11">
        <v>46118</v>
      </c>
      <c r="K58" t="s">
        <v>143</v>
      </c>
      <c r="L58" s="1"/>
      <c r="M58" s="1"/>
      <c r="N58" s="1"/>
      <c r="O58" s="1"/>
      <c r="P58" s="1"/>
      <c r="Q58" s="1"/>
      <c r="R58" s="1"/>
      <c r="S58" s="1"/>
      <c r="T58" s="1"/>
    </row>
    <row r="59" spans="1:20" ht="15.75" x14ac:dyDescent="0.25">
      <c r="A59" s="5" t="s">
        <v>672</v>
      </c>
      <c r="B59" s="4" t="s">
        <v>148</v>
      </c>
      <c r="C59" s="4" t="s">
        <v>38</v>
      </c>
      <c r="D59" s="86">
        <v>77.17</v>
      </c>
      <c r="E59" s="4" t="s">
        <v>4</v>
      </c>
      <c r="F59" s="64" t="s">
        <v>4</v>
      </c>
      <c r="G59" s="53" t="s">
        <v>92</v>
      </c>
      <c r="H59" s="11">
        <v>46118</v>
      </c>
      <c r="K59" t="s">
        <v>201</v>
      </c>
      <c r="L59" s="1"/>
      <c r="M59" s="1"/>
      <c r="N59" s="1"/>
      <c r="O59" s="1"/>
      <c r="P59" s="1"/>
      <c r="Q59" s="1"/>
      <c r="R59" s="1"/>
      <c r="S59" s="1"/>
      <c r="T59" s="1"/>
    </row>
    <row r="60" spans="1:20" ht="15.75" x14ac:dyDescent="0.25">
      <c r="A60" s="5" t="s">
        <v>671</v>
      </c>
      <c r="B60" s="4" t="s">
        <v>148</v>
      </c>
      <c r="C60" s="4" t="s">
        <v>38</v>
      </c>
      <c r="D60" s="86">
        <v>77.17</v>
      </c>
      <c r="E60" s="4" t="s">
        <v>4</v>
      </c>
      <c r="F60" s="64" t="s">
        <v>4</v>
      </c>
      <c r="G60" s="53" t="s">
        <v>92</v>
      </c>
      <c r="H60" s="11">
        <v>46118</v>
      </c>
      <c r="L60" s="1"/>
      <c r="M60" s="1"/>
      <c r="N60" s="1"/>
      <c r="O60" s="1"/>
      <c r="P60" s="1"/>
      <c r="Q60" s="1"/>
      <c r="R60" s="1"/>
      <c r="S60" s="1"/>
      <c r="T60" s="1"/>
    </row>
    <row r="61" spans="1:20" ht="15.75" x14ac:dyDescent="0.25">
      <c r="A61" s="5" t="s">
        <v>673</v>
      </c>
      <c r="B61" s="4" t="s">
        <v>148</v>
      </c>
      <c r="C61" s="4" t="s">
        <v>38</v>
      </c>
      <c r="D61" s="12">
        <v>99.22</v>
      </c>
      <c r="E61" s="4" t="s">
        <v>4</v>
      </c>
      <c r="F61" s="64" t="s">
        <v>4</v>
      </c>
      <c r="G61" s="53" t="s">
        <v>92</v>
      </c>
      <c r="H61" s="11">
        <v>46118</v>
      </c>
      <c r="K61" t="s">
        <v>0</v>
      </c>
      <c r="L61" s="1">
        <f t="shared" ref="L61:T61" si="2">SUM(L44:L60)</f>
        <v>0</v>
      </c>
      <c r="M61" s="1">
        <f t="shared" si="2"/>
        <v>0</v>
      </c>
      <c r="N61" s="1">
        <f t="shared" si="2"/>
        <v>0</v>
      </c>
      <c r="O61" s="1">
        <f t="shared" si="2"/>
        <v>0</v>
      </c>
      <c r="P61" s="1">
        <f t="shared" si="2"/>
        <v>0</v>
      </c>
      <c r="Q61" s="1">
        <f t="shared" si="2"/>
        <v>0</v>
      </c>
      <c r="R61" s="1">
        <f t="shared" si="2"/>
        <v>0</v>
      </c>
      <c r="S61" s="1">
        <f t="shared" si="2"/>
        <v>0</v>
      </c>
      <c r="T61" s="1">
        <f t="shared" si="2"/>
        <v>0</v>
      </c>
    </row>
    <row r="62" spans="1:20" ht="15.75" x14ac:dyDescent="0.25">
      <c r="A62" s="5" t="s">
        <v>669</v>
      </c>
      <c r="B62" s="4" t="s">
        <v>148</v>
      </c>
      <c r="C62" s="4" t="s">
        <v>38</v>
      </c>
      <c r="D62" s="86">
        <v>77.17</v>
      </c>
      <c r="E62" s="4" t="s">
        <v>4</v>
      </c>
      <c r="F62" s="64" t="s">
        <v>4</v>
      </c>
      <c r="G62" s="53" t="s">
        <v>92</v>
      </c>
      <c r="H62" s="11">
        <v>46118</v>
      </c>
    </row>
    <row r="63" spans="1:20" ht="15.75" x14ac:dyDescent="0.25">
      <c r="A63" s="5" t="s">
        <v>837</v>
      </c>
      <c r="B63" s="4" t="s">
        <v>149</v>
      </c>
      <c r="C63" s="4" t="s">
        <v>38</v>
      </c>
      <c r="D63" s="121">
        <v>83.99</v>
      </c>
      <c r="E63" s="4" t="s">
        <v>4</v>
      </c>
      <c r="F63" s="64" t="s">
        <v>4</v>
      </c>
      <c r="G63" s="53" t="s">
        <v>92</v>
      </c>
      <c r="H63" s="11">
        <v>46118</v>
      </c>
    </row>
    <row r="64" spans="1:20" ht="15.75" x14ac:dyDescent="0.25">
      <c r="A64" s="5" t="s">
        <v>830</v>
      </c>
      <c r="B64" s="4" t="s">
        <v>148</v>
      </c>
      <c r="C64" s="4" t="s">
        <v>38</v>
      </c>
      <c r="D64" s="12">
        <v>80</v>
      </c>
      <c r="E64" s="4" t="s">
        <v>4</v>
      </c>
      <c r="F64" s="64" t="s">
        <v>4</v>
      </c>
      <c r="G64" s="53" t="s">
        <v>92</v>
      </c>
      <c r="H64" s="11">
        <v>46118</v>
      </c>
    </row>
    <row r="65" spans="1:12" ht="15.75" x14ac:dyDescent="0.25">
      <c r="A65" s="5" t="s">
        <v>873</v>
      </c>
      <c r="B65" s="4" t="s">
        <v>148</v>
      </c>
      <c r="C65" s="4" t="s">
        <v>38</v>
      </c>
      <c r="D65" s="86">
        <v>128.63999999999999</v>
      </c>
      <c r="E65" s="4" t="s">
        <v>4</v>
      </c>
      <c r="F65" s="64" t="s">
        <v>4</v>
      </c>
      <c r="G65" s="53" t="s">
        <v>94</v>
      </c>
      <c r="H65" s="120">
        <v>46118</v>
      </c>
      <c r="K65" s="26"/>
    </row>
    <row r="66" spans="1:12" ht="15.75" x14ac:dyDescent="0.25">
      <c r="A66" s="5" t="s">
        <v>874</v>
      </c>
      <c r="B66" s="4" t="s">
        <v>148</v>
      </c>
      <c r="C66" s="4" t="s">
        <v>38</v>
      </c>
      <c r="D66" s="12">
        <v>120</v>
      </c>
      <c r="E66" s="4" t="s">
        <v>4</v>
      </c>
      <c r="F66" s="64" t="s">
        <v>4</v>
      </c>
      <c r="G66" s="23"/>
      <c r="H66" s="120">
        <v>46118</v>
      </c>
    </row>
    <row r="67" spans="1:12" ht="15.75" x14ac:dyDescent="0.25">
      <c r="A67" s="5" t="s">
        <v>875</v>
      </c>
      <c r="B67" s="4" t="s">
        <v>148</v>
      </c>
      <c r="C67" s="4" t="s">
        <v>38</v>
      </c>
      <c r="D67" s="12">
        <v>130</v>
      </c>
      <c r="E67" s="4" t="s">
        <v>4</v>
      </c>
      <c r="F67" s="64" t="s">
        <v>4</v>
      </c>
      <c r="G67" s="23"/>
      <c r="H67" s="11">
        <v>46118</v>
      </c>
    </row>
    <row r="68" spans="1:12" ht="15.75" x14ac:dyDescent="0.25">
      <c r="A68" s="5" t="s">
        <v>877</v>
      </c>
      <c r="B68" s="4" t="s">
        <v>148</v>
      </c>
      <c r="C68" s="4" t="s">
        <v>38</v>
      </c>
      <c r="D68" s="12">
        <v>250</v>
      </c>
      <c r="E68" s="4" t="s">
        <v>4</v>
      </c>
      <c r="F68" s="64" t="s">
        <v>4</v>
      </c>
      <c r="G68" s="23"/>
      <c r="H68" s="11">
        <v>46118</v>
      </c>
    </row>
    <row r="69" spans="1:12" ht="15.75" x14ac:dyDescent="0.25">
      <c r="A69" s="5" t="s">
        <v>878</v>
      </c>
      <c r="B69" s="4" t="s">
        <v>148</v>
      </c>
      <c r="C69" s="4" t="s">
        <v>38</v>
      </c>
      <c r="D69" s="12">
        <v>250</v>
      </c>
      <c r="E69" s="4" t="s">
        <v>4</v>
      </c>
      <c r="F69" s="64" t="s">
        <v>4</v>
      </c>
      <c r="G69" s="23"/>
      <c r="H69" s="94">
        <v>46118</v>
      </c>
    </row>
    <row r="70" spans="1:12" ht="15.75" x14ac:dyDescent="0.25">
      <c r="A70" s="5" t="s">
        <v>408</v>
      </c>
      <c r="B70" s="4" t="s">
        <v>148</v>
      </c>
      <c r="C70" s="4" t="s">
        <v>38</v>
      </c>
      <c r="D70" s="12">
        <v>600</v>
      </c>
      <c r="E70" s="4" t="s">
        <v>4</v>
      </c>
      <c r="F70" s="64" t="s">
        <v>4</v>
      </c>
      <c r="G70" s="79"/>
      <c r="H70" s="94">
        <v>46118</v>
      </c>
    </row>
    <row r="71" spans="1:12" ht="15.75" x14ac:dyDescent="0.25">
      <c r="A71" s="5" t="s">
        <v>409</v>
      </c>
      <c r="B71" s="4" t="s">
        <v>148</v>
      </c>
      <c r="C71" s="4" t="s">
        <v>38</v>
      </c>
      <c r="D71" s="14">
        <v>-345</v>
      </c>
      <c r="E71" s="4" t="s">
        <v>4</v>
      </c>
      <c r="F71" s="64" t="s">
        <v>4</v>
      </c>
      <c r="G71" s="79"/>
      <c r="H71" s="94">
        <v>46118</v>
      </c>
    </row>
    <row r="72" spans="1:12" ht="15.75" x14ac:dyDescent="0.25">
      <c r="A72" s="5" t="s">
        <v>880</v>
      </c>
      <c r="B72" s="4" t="s">
        <v>148</v>
      </c>
      <c r="C72" s="4" t="s">
        <v>38</v>
      </c>
      <c r="D72" s="12">
        <v>100</v>
      </c>
      <c r="E72" s="4" t="s">
        <v>4</v>
      </c>
      <c r="F72" s="64" t="s">
        <v>4</v>
      </c>
      <c r="G72" s="23"/>
      <c r="H72" s="94">
        <v>46118</v>
      </c>
      <c r="L72">
        <f>800/3</f>
        <v>266.66666666666669</v>
      </c>
    </row>
    <row r="73" spans="1:12" ht="15.75" x14ac:dyDescent="0.25">
      <c r="A73" s="5" t="s">
        <v>882</v>
      </c>
      <c r="B73" s="4" t="s">
        <v>148</v>
      </c>
      <c r="C73" s="4" t="s">
        <v>38</v>
      </c>
      <c r="D73" s="121">
        <v>209.02</v>
      </c>
      <c r="E73" s="4" t="s">
        <v>4</v>
      </c>
      <c r="F73" s="64" t="s">
        <v>4</v>
      </c>
      <c r="G73" s="119"/>
      <c r="H73" s="120">
        <v>46119</v>
      </c>
    </row>
    <row r="74" spans="1:12" ht="15.75" x14ac:dyDescent="0.25">
      <c r="A74" s="5" t="s">
        <v>883</v>
      </c>
      <c r="B74" s="4" t="s">
        <v>84</v>
      </c>
      <c r="C74" s="4" t="s">
        <v>38</v>
      </c>
      <c r="D74" s="121">
        <v>30</v>
      </c>
      <c r="E74" s="4" t="s">
        <v>4</v>
      </c>
      <c r="F74" s="64" t="s">
        <v>4</v>
      </c>
      <c r="G74" s="119"/>
      <c r="H74" s="120">
        <v>46119</v>
      </c>
    </row>
    <row r="75" spans="1:12" ht="15.75" x14ac:dyDescent="0.25">
      <c r="A75" s="5" t="s">
        <v>884</v>
      </c>
      <c r="B75" s="4" t="s">
        <v>148</v>
      </c>
      <c r="C75" s="4" t="s">
        <v>38</v>
      </c>
      <c r="D75" s="121">
        <v>1100</v>
      </c>
      <c r="E75" s="4" t="s">
        <v>4</v>
      </c>
      <c r="F75" s="64" t="s">
        <v>4</v>
      </c>
      <c r="G75" s="119"/>
      <c r="H75" s="120">
        <v>46119</v>
      </c>
    </row>
    <row r="76" spans="1:12" ht="15.75" x14ac:dyDescent="0.25">
      <c r="A76" s="5" t="s">
        <v>885</v>
      </c>
      <c r="B76" s="4" t="s">
        <v>84</v>
      </c>
      <c r="C76" s="4" t="s">
        <v>38</v>
      </c>
      <c r="D76" s="121">
        <v>30</v>
      </c>
      <c r="E76" s="4" t="s">
        <v>4</v>
      </c>
      <c r="F76" s="64" t="s">
        <v>4</v>
      </c>
      <c r="G76" s="119"/>
      <c r="H76" s="120">
        <v>46119</v>
      </c>
    </row>
    <row r="77" spans="1:12" ht="15.75" x14ac:dyDescent="0.25">
      <c r="A77" s="5" t="s">
        <v>886</v>
      </c>
      <c r="B77" s="4" t="s">
        <v>148</v>
      </c>
      <c r="C77" s="4" t="s">
        <v>38</v>
      </c>
      <c r="D77" s="121">
        <v>150</v>
      </c>
      <c r="E77" s="4" t="s">
        <v>4</v>
      </c>
      <c r="F77" s="64" t="s">
        <v>4</v>
      </c>
      <c r="G77" s="119"/>
      <c r="H77" s="120">
        <v>46119</v>
      </c>
    </row>
    <row r="78" spans="1:12" ht="15.75" x14ac:dyDescent="0.25">
      <c r="A78" s="5" t="s">
        <v>20</v>
      </c>
      <c r="B78" s="4" t="s">
        <v>136</v>
      </c>
      <c r="C78" s="4" t="s">
        <v>39</v>
      </c>
      <c r="D78" s="33">
        <v>4667.08</v>
      </c>
      <c r="E78" s="4" t="s">
        <v>4</v>
      </c>
      <c r="F78" s="64" t="s">
        <v>4</v>
      </c>
      <c r="G78" s="53" t="s">
        <v>69</v>
      </c>
      <c r="H78" s="11">
        <v>46119</v>
      </c>
    </row>
    <row r="79" spans="1:12" ht="15.75" x14ac:dyDescent="0.25">
      <c r="A79" s="5" t="s">
        <v>501</v>
      </c>
      <c r="B79" s="4" t="s">
        <v>136</v>
      </c>
      <c r="C79" s="4" t="s">
        <v>39</v>
      </c>
      <c r="D79" s="12">
        <v>904.17</v>
      </c>
      <c r="E79" s="4" t="s">
        <v>4</v>
      </c>
      <c r="F79" s="64" t="s">
        <v>4</v>
      </c>
      <c r="G79" s="53" t="s">
        <v>69</v>
      </c>
      <c r="H79" s="11">
        <v>46119</v>
      </c>
    </row>
    <row r="80" spans="1:12" ht="15.75" x14ac:dyDescent="0.25">
      <c r="A80" s="5" t="s">
        <v>887</v>
      </c>
      <c r="B80" s="4" t="s">
        <v>15</v>
      </c>
      <c r="C80" s="4" t="s">
        <v>15</v>
      </c>
      <c r="D80" s="12">
        <v>270.33</v>
      </c>
      <c r="E80" s="4" t="s">
        <v>4</v>
      </c>
      <c r="F80" s="64" t="s">
        <v>4</v>
      </c>
      <c r="G80" s="53" t="s">
        <v>69</v>
      </c>
      <c r="H80" s="11">
        <v>46119</v>
      </c>
    </row>
    <row r="81" spans="1:8" ht="15.75" x14ac:dyDescent="0.25">
      <c r="A81" s="5" t="s">
        <v>888</v>
      </c>
      <c r="B81" s="4" t="s">
        <v>15</v>
      </c>
      <c r="C81" s="4" t="s">
        <v>15</v>
      </c>
      <c r="D81" s="121">
        <v>16.670000000000002</v>
      </c>
      <c r="E81" s="4" t="s">
        <v>4</v>
      </c>
      <c r="F81" s="64" t="s">
        <v>4</v>
      </c>
      <c r="G81" s="119"/>
      <c r="H81" s="120">
        <v>46119</v>
      </c>
    </row>
    <row r="82" spans="1:8" ht="15.75" x14ac:dyDescent="0.25">
      <c r="A82" s="5" t="s">
        <v>889</v>
      </c>
      <c r="B82" s="4" t="s">
        <v>15</v>
      </c>
      <c r="C82" s="4" t="s">
        <v>15</v>
      </c>
      <c r="D82" s="121">
        <v>103.33</v>
      </c>
      <c r="E82" s="4" t="s">
        <v>4</v>
      </c>
      <c r="F82" s="64" t="s">
        <v>4</v>
      </c>
      <c r="G82" s="119"/>
      <c r="H82" s="120">
        <v>46119</v>
      </c>
    </row>
    <row r="83" spans="1:8" ht="15.75" x14ac:dyDescent="0.25">
      <c r="A83" s="5" t="s">
        <v>567</v>
      </c>
      <c r="B83" s="4" t="s">
        <v>15</v>
      </c>
      <c r="C83" s="4" t="s">
        <v>15</v>
      </c>
      <c r="D83" s="121">
        <v>266.67</v>
      </c>
      <c r="E83" s="4" t="s">
        <v>4</v>
      </c>
      <c r="F83" s="64" t="s">
        <v>4</v>
      </c>
      <c r="G83" s="119"/>
      <c r="H83" s="120">
        <v>46119</v>
      </c>
    </row>
    <row r="84" spans="1:8" ht="15.75" x14ac:dyDescent="0.25">
      <c r="A84" s="5" t="s">
        <v>507</v>
      </c>
      <c r="B84" s="4" t="s">
        <v>15</v>
      </c>
      <c r="C84" s="4" t="s">
        <v>15</v>
      </c>
      <c r="D84" s="121">
        <v>257.5</v>
      </c>
      <c r="E84" s="4" t="s">
        <v>4</v>
      </c>
      <c r="F84" s="64" t="s">
        <v>4</v>
      </c>
      <c r="G84" s="119"/>
      <c r="H84" s="120">
        <v>46119</v>
      </c>
    </row>
    <row r="85" spans="1:8" ht="15.75" x14ac:dyDescent="0.25">
      <c r="A85" s="5" t="s">
        <v>19</v>
      </c>
      <c r="B85" s="4" t="s">
        <v>136</v>
      </c>
      <c r="C85" s="4" t="s">
        <v>39</v>
      </c>
      <c r="D85" s="121">
        <v>1863.93</v>
      </c>
      <c r="E85" s="4" t="s">
        <v>4</v>
      </c>
      <c r="F85" s="64" t="s">
        <v>4</v>
      </c>
      <c r="G85" s="119"/>
      <c r="H85" s="120">
        <v>46119</v>
      </c>
    </row>
    <row r="86" spans="1:8" ht="15.75" x14ac:dyDescent="0.25">
      <c r="A86" s="5" t="s">
        <v>890</v>
      </c>
      <c r="B86" s="4" t="s">
        <v>15</v>
      </c>
      <c r="C86" s="4" t="s">
        <v>15</v>
      </c>
      <c r="D86" s="121">
        <v>1371</v>
      </c>
      <c r="E86" s="4" t="s">
        <v>4</v>
      </c>
      <c r="F86" s="64" t="s">
        <v>4</v>
      </c>
      <c r="G86" s="119"/>
      <c r="H86" s="120">
        <v>46119</v>
      </c>
    </row>
    <row r="87" spans="1:8" ht="15.75" x14ac:dyDescent="0.25">
      <c r="A87" s="5" t="s">
        <v>891</v>
      </c>
      <c r="B87" s="4" t="s">
        <v>148</v>
      </c>
      <c r="C87" s="4" t="s">
        <v>39</v>
      </c>
      <c r="D87" s="12">
        <v>35</v>
      </c>
      <c r="E87" s="4" t="s">
        <v>4</v>
      </c>
      <c r="F87" s="64" t="s">
        <v>4</v>
      </c>
      <c r="G87" s="23"/>
      <c r="H87" s="11">
        <v>46120</v>
      </c>
    </row>
    <row r="88" spans="1:8" ht="15.75" x14ac:dyDescent="0.25">
      <c r="A88" s="5" t="s">
        <v>892</v>
      </c>
      <c r="B88" s="4" t="s">
        <v>148</v>
      </c>
      <c r="C88" s="4" t="s">
        <v>38</v>
      </c>
      <c r="D88" s="121">
        <v>120</v>
      </c>
      <c r="E88" s="4" t="s">
        <v>4</v>
      </c>
      <c r="F88" s="64" t="s">
        <v>4</v>
      </c>
      <c r="G88" s="119"/>
      <c r="H88" s="120">
        <v>46120</v>
      </c>
    </row>
    <row r="89" spans="1:8" ht="15.75" x14ac:dyDescent="0.25">
      <c r="A89" s="5" t="s">
        <v>893</v>
      </c>
      <c r="B89" s="4" t="s">
        <v>15</v>
      </c>
      <c r="C89" s="4" t="s">
        <v>15</v>
      </c>
      <c r="D89" s="121">
        <v>1050</v>
      </c>
      <c r="E89" s="4" t="s">
        <v>4</v>
      </c>
      <c r="F89" s="64" t="s">
        <v>4</v>
      </c>
      <c r="G89" s="119"/>
      <c r="H89" s="120">
        <v>46120</v>
      </c>
    </row>
    <row r="90" spans="1:8" ht="15.75" x14ac:dyDescent="0.25">
      <c r="A90" s="5" t="s">
        <v>894</v>
      </c>
      <c r="B90" s="4" t="s">
        <v>15</v>
      </c>
      <c r="C90" s="4" t="s">
        <v>15</v>
      </c>
      <c r="D90" s="121">
        <v>1050</v>
      </c>
      <c r="E90" s="4" t="s">
        <v>4</v>
      </c>
      <c r="F90" s="64" t="s">
        <v>4</v>
      </c>
      <c r="G90" s="119"/>
      <c r="H90" s="120">
        <v>46120</v>
      </c>
    </row>
    <row r="91" spans="1:8" ht="15.75" x14ac:dyDescent="0.25">
      <c r="A91" s="5" t="s">
        <v>895</v>
      </c>
      <c r="B91" s="4" t="s">
        <v>15</v>
      </c>
      <c r="C91" s="4" t="s">
        <v>15</v>
      </c>
      <c r="D91" s="121">
        <v>400</v>
      </c>
      <c r="E91" s="4" t="s">
        <v>4</v>
      </c>
      <c r="F91" s="64" t="s">
        <v>4</v>
      </c>
      <c r="G91" s="119"/>
      <c r="H91" s="120">
        <v>46120</v>
      </c>
    </row>
    <row r="92" spans="1:8" ht="15.75" x14ac:dyDescent="0.25">
      <c r="A92" s="5" t="s">
        <v>901</v>
      </c>
      <c r="B92" s="4" t="s">
        <v>15</v>
      </c>
      <c r="C92" s="4" t="s">
        <v>15</v>
      </c>
      <c r="D92" s="121">
        <v>300</v>
      </c>
      <c r="E92" s="4" t="s">
        <v>4</v>
      </c>
      <c r="F92" s="64" t="s">
        <v>4</v>
      </c>
      <c r="G92" s="119"/>
      <c r="H92" s="120">
        <v>46120</v>
      </c>
    </row>
    <row r="93" spans="1:8" ht="15.75" x14ac:dyDescent="0.25">
      <c r="A93" s="5" t="s">
        <v>896</v>
      </c>
      <c r="B93" s="4" t="s">
        <v>15</v>
      </c>
      <c r="C93" s="4" t="s">
        <v>15</v>
      </c>
      <c r="D93" s="121">
        <v>200</v>
      </c>
      <c r="E93" s="4" t="s">
        <v>4</v>
      </c>
      <c r="F93" s="64" t="s">
        <v>4</v>
      </c>
      <c r="G93" s="119"/>
      <c r="H93" s="120">
        <v>46120</v>
      </c>
    </row>
    <row r="94" spans="1:8" ht="15.75" x14ac:dyDescent="0.25">
      <c r="A94" s="5" t="s">
        <v>897</v>
      </c>
      <c r="B94" s="4" t="s">
        <v>15</v>
      </c>
      <c r="C94" s="4" t="s">
        <v>15</v>
      </c>
      <c r="D94" s="121">
        <v>400</v>
      </c>
      <c r="E94" s="4" t="s">
        <v>4</v>
      </c>
      <c r="F94" s="64" t="s">
        <v>4</v>
      </c>
      <c r="G94" s="119"/>
      <c r="H94" s="120">
        <v>46120</v>
      </c>
    </row>
    <row r="95" spans="1:8" ht="15.75" x14ac:dyDescent="0.25">
      <c r="A95" s="5" t="s">
        <v>258</v>
      </c>
      <c r="B95" s="4" t="s">
        <v>15</v>
      </c>
      <c r="C95" s="4" t="s">
        <v>15</v>
      </c>
      <c r="D95" s="43">
        <v>440</v>
      </c>
      <c r="E95" s="4" t="s">
        <v>4</v>
      </c>
      <c r="F95" s="64" t="s">
        <v>4</v>
      </c>
      <c r="G95" s="119"/>
      <c r="H95" s="120">
        <v>46120</v>
      </c>
    </row>
    <row r="96" spans="1:8" ht="15.75" x14ac:dyDescent="0.25">
      <c r="A96" s="5" t="s">
        <v>21</v>
      </c>
      <c r="B96" s="4" t="s">
        <v>137</v>
      </c>
      <c r="C96" s="4" t="s">
        <v>38</v>
      </c>
      <c r="D96" s="12">
        <v>1621</v>
      </c>
      <c r="E96" s="4" t="s">
        <v>4</v>
      </c>
      <c r="F96" s="64" t="s">
        <v>4</v>
      </c>
      <c r="G96" s="119"/>
      <c r="H96" s="120">
        <v>46120</v>
      </c>
    </row>
    <row r="97" spans="1:13" ht="15.75" x14ac:dyDescent="0.25">
      <c r="A97" s="5" t="s">
        <v>22</v>
      </c>
      <c r="B97" s="4" t="s">
        <v>137</v>
      </c>
      <c r="C97" s="4" t="s">
        <v>38</v>
      </c>
      <c r="D97" s="12">
        <v>1621</v>
      </c>
      <c r="E97" s="4" t="s">
        <v>4</v>
      </c>
      <c r="F97" s="64" t="s">
        <v>4</v>
      </c>
      <c r="G97" s="119"/>
      <c r="H97" s="120">
        <v>46120</v>
      </c>
      <c r="K97" s="26"/>
    </row>
    <row r="98" spans="1:13" ht="15.75" x14ac:dyDescent="0.25">
      <c r="A98" s="5" t="s">
        <v>23</v>
      </c>
      <c r="B98" s="4" t="s">
        <v>137</v>
      </c>
      <c r="C98" s="4" t="s">
        <v>38</v>
      </c>
      <c r="D98" s="12">
        <v>1621</v>
      </c>
      <c r="E98" s="4" t="s">
        <v>4</v>
      </c>
      <c r="F98" s="64" t="s">
        <v>4</v>
      </c>
      <c r="G98" s="119"/>
      <c r="H98" s="120">
        <v>46120</v>
      </c>
    </row>
    <row r="99" spans="1:13" ht="15.75" x14ac:dyDescent="0.25">
      <c r="A99" s="5" t="s">
        <v>24</v>
      </c>
      <c r="B99" s="4" t="s">
        <v>137</v>
      </c>
      <c r="C99" s="4" t="s">
        <v>38</v>
      </c>
      <c r="D99" s="12">
        <v>1621</v>
      </c>
      <c r="E99" s="4" t="s">
        <v>4</v>
      </c>
      <c r="F99" s="64" t="s">
        <v>4</v>
      </c>
      <c r="G99" s="119"/>
      <c r="H99" s="120">
        <v>46120</v>
      </c>
    </row>
    <row r="100" spans="1:13" ht="15.75" x14ac:dyDescent="0.25">
      <c r="A100" s="5" t="s">
        <v>25</v>
      </c>
      <c r="B100" s="4" t="s">
        <v>137</v>
      </c>
      <c r="C100" s="4" t="s">
        <v>38</v>
      </c>
      <c r="D100" s="12">
        <v>2550</v>
      </c>
      <c r="E100" s="4" t="s">
        <v>4</v>
      </c>
      <c r="F100" s="64" t="s">
        <v>4</v>
      </c>
      <c r="G100" s="119"/>
      <c r="H100" s="120">
        <v>46120</v>
      </c>
    </row>
    <row r="101" spans="1:13" ht="15.75" x14ac:dyDescent="0.25">
      <c r="A101" s="5" t="s">
        <v>900</v>
      </c>
      <c r="B101" s="4" t="s">
        <v>137</v>
      </c>
      <c r="C101" s="4" t="s">
        <v>39</v>
      </c>
      <c r="D101" s="13">
        <v>175</v>
      </c>
      <c r="E101" s="4" t="s">
        <v>4</v>
      </c>
      <c r="F101" s="64" t="s">
        <v>4</v>
      </c>
      <c r="G101" s="119"/>
      <c r="H101" s="120">
        <v>46120</v>
      </c>
      <c r="K101" s="26"/>
    </row>
    <row r="102" spans="1:13" ht="15.75" x14ac:dyDescent="0.25">
      <c r="A102" s="5" t="s">
        <v>899</v>
      </c>
      <c r="B102" s="4" t="s">
        <v>15</v>
      </c>
      <c r="C102" s="4" t="s">
        <v>15</v>
      </c>
      <c r="D102" s="121">
        <v>1874</v>
      </c>
      <c r="E102" s="4" t="s">
        <v>4</v>
      </c>
      <c r="F102" s="64" t="s">
        <v>4</v>
      </c>
      <c r="G102" s="119"/>
      <c r="H102" s="120">
        <v>46120</v>
      </c>
    </row>
    <row r="103" spans="1:13" ht="15.75" x14ac:dyDescent="0.25">
      <c r="A103" s="5" t="s">
        <v>898</v>
      </c>
      <c r="B103" s="4" t="s">
        <v>148</v>
      </c>
      <c r="C103" s="4" t="s">
        <v>38</v>
      </c>
      <c r="D103" s="121">
        <v>619.03</v>
      </c>
      <c r="E103" s="4" t="s">
        <v>4</v>
      </c>
      <c r="F103" s="64" t="s">
        <v>4</v>
      </c>
      <c r="G103" s="119"/>
      <c r="H103" s="120">
        <v>46120</v>
      </c>
      <c r="K103" t="s">
        <v>69</v>
      </c>
    </row>
    <row r="104" spans="1:13" ht="15.75" x14ac:dyDescent="0.25">
      <c r="A104" s="5" t="s">
        <v>902</v>
      </c>
      <c r="B104" s="4" t="s">
        <v>15</v>
      </c>
      <c r="C104" s="4" t="s">
        <v>15</v>
      </c>
      <c r="D104" s="121">
        <v>400</v>
      </c>
      <c r="E104" s="4" t="s">
        <v>4</v>
      </c>
      <c r="F104" s="64" t="s">
        <v>4</v>
      </c>
      <c r="G104" s="119"/>
      <c r="H104" s="120">
        <v>46120</v>
      </c>
    </row>
    <row r="105" spans="1:13" ht="15.75" x14ac:dyDescent="0.25">
      <c r="A105" s="5" t="s">
        <v>903</v>
      </c>
      <c r="B105" s="4" t="s">
        <v>15</v>
      </c>
      <c r="C105" s="4" t="s">
        <v>15</v>
      </c>
      <c r="D105" s="121">
        <v>50</v>
      </c>
      <c r="E105" s="4" t="s">
        <v>4</v>
      </c>
      <c r="F105" s="64" t="s">
        <v>4</v>
      </c>
      <c r="G105" s="119"/>
      <c r="H105" s="120">
        <v>46120</v>
      </c>
    </row>
    <row r="106" spans="1:13" ht="15.75" x14ac:dyDescent="0.25">
      <c r="A106" s="5" t="s">
        <v>904</v>
      </c>
      <c r="B106" s="4" t="s">
        <v>15</v>
      </c>
      <c r="C106" s="4" t="s">
        <v>15</v>
      </c>
      <c r="D106" s="121">
        <v>50</v>
      </c>
      <c r="E106" s="4" t="s">
        <v>4</v>
      </c>
      <c r="F106" s="64" t="s">
        <v>4</v>
      </c>
      <c r="G106" s="119"/>
      <c r="H106" s="120">
        <v>46120</v>
      </c>
    </row>
    <row r="107" spans="1:13" ht="15.75" x14ac:dyDescent="0.25">
      <c r="A107" s="5" t="s">
        <v>905</v>
      </c>
      <c r="B107" s="4" t="s">
        <v>15</v>
      </c>
      <c r="C107" s="4" t="s">
        <v>15</v>
      </c>
      <c r="D107" s="121">
        <v>50</v>
      </c>
      <c r="E107" s="4" t="s">
        <v>4</v>
      </c>
      <c r="F107" s="64" t="s">
        <v>4</v>
      </c>
      <c r="G107" s="119"/>
      <c r="H107" s="120">
        <v>46120</v>
      </c>
    </row>
    <row r="108" spans="1:13" ht="15.75" x14ac:dyDescent="0.25">
      <c r="A108" s="5" t="s">
        <v>906</v>
      </c>
      <c r="B108" s="4" t="s">
        <v>15</v>
      </c>
      <c r="C108" s="4" t="s">
        <v>15</v>
      </c>
      <c r="D108" s="121">
        <v>600</v>
      </c>
      <c r="E108" s="4" t="s">
        <v>4</v>
      </c>
      <c r="F108" s="64" t="s">
        <v>4</v>
      </c>
      <c r="G108" s="119"/>
      <c r="H108" s="120">
        <v>46120</v>
      </c>
    </row>
    <row r="109" spans="1:13" ht="15.75" x14ac:dyDescent="0.25">
      <c r="A109" s="5" t="s">
        <v>907</v>
      </c>
      <c r="B109" s="4" t="s">
        <v>15</v>
      </c>
      <c r="C109" s="4" t="s">
        <v>15</v>
      </c>
      <c r="D109" s="121">
        <v>300</v>
      </c>
      <c r="E109" s="4" t="s">
        <v>4</v>
      </c>
      <c r="F109" s="64" t="s">
        <v>4</v>
      </c>
      <c r="G109" s="119"/>
      <c r="H109" s="120">
        <v>46120</v>
      </c>
    </row>
    <row r="110" spans="1:13" ht="15.75" x14ac:dyDescent="0.25">
      <c r="A110" s="5" t="s">
        <v>908</v>
      </c>
      <c r="B110" s="4" t="s">
        <v>15</v>
      </c>
      <c r="C110" s="4" t="s">
        <v>15</v>
      </c>
      <c r="D110" s="12">
        <v>50</v>
      </c>
      <c r="E110" s="4" t="s">
        <v>4</v>
      </c>
      <c r="F110" s="64" t="s">
        <v>4</v>
      </c>
      <c r="G110" s="23"/>
      <c r="H110" s="11">
        <v>46120</v>
      </c>
    </row>
    <row r="111" spans="1:13" ht="15.75" x14ac:dyDescent="0.25">
      <c r="A111" s="5" t="s">
        <v>909</v>
      </c>
      <c r="B111" s="4" t="s">
        <v>15</v>
      </c>
      <c r="C111" s="4" t="s">
        <v>15</v>
      </c>
      <c r="D111" s="12">
        <v>50</v>
      </c>
      <c r="E111" s="4" t="s">
        <v>4</v>
      </c>
      <c r="F111" s="64" t="s">
        <v>4</v>
      </c>
      <c r="G111" s="119"/>
      <c r="H111" s="120">
        <v>46120</v>
      </c>
    </row>
    <row r="112" spans="1:13" ht="15.75" x14ac:dyDescent="0.25">
      <c r="A112" s="5" t="s">
        <v>910</v>
      </c>
      <c r="B112" s="4" t="s">
        <v>15</v>
      </c>
      <c r="C112" s="4" t="s">
        <v>15</v>
      </c>
      <c r="D112" s="121">
        <v>50</v>
      </c>
      <c r="E112" s="4" t="s">
        <v>4</v>
      </c>
      <c r="F112" s="64" t="s">
        <v>4</v>
      </c>
      <c r="G112" s="119"/>
      <c r="H112" s="120">
        <v>46120</v>
      </c>
      <c r="M112" s="26"/>
    </row>
    <row r="113" spans="1:13" ht="15.75" x14ac:dyDescent="0.25">
      <c r="A113" s="5" t="s">
        <v>911</v>
      </c>
      <c r="B113" s="4" t="s">
        <v>148</v>
      </c>
      <c r="C113" s="4" t="s">
        <v>38</v>
      </c>
      <c r="D113" s="121">
        <v>200</v>
      </c>
      <c r="E113" s="4" t="s">
        <v>4</v>
      </c>
      <c r="F113" s="64" t="s">
        <v>4</v>
      </c>
      <c r="G113" s="119"/>
      <c r="H113" s="120">
        <v>46120</v>
      </c>
      <c r="M113" s="26"/>
    </row>
    <row r="114" spans="1:13" ht="15.75" x14ac:dyDescent="0.25">
      <c r="A114" s="5" t="s">
        <v>912</v>
      </c>
      <c r="B114" s="4" t="s">
        <v>136</v>
      </c>
      <c r="C114" s="4" t="s">
        <v>39</v>
      </c>
      <c r="D114" s="121">
        <v>1305.3900000000001</v>
      </c>
      <c r="E114" s="4" t="s">
        <v>4</v>
      </c>
      <c r="F114" s="64" t="s">
        <v>4</v>
      </c>
      <c r="G114" s="119"/>
      <c r="H114" s="11">
        <v>46121</v>
      </c>
    </row>
    <row r="115" spans="1:13" ht="15.75" x14ac:dyDescent="0.25">
      <c r="A115" s="5" t="s">
        <v>913</v>
      </c>
      <c r="B115" s="4" t="s">
        <v>152</v>
      </c>
      <c r="C115" s="4" t="s">
        <v>38</v>
      </c>
      <c r="D115" s="121">
        <v>44</v>
      </c>
      <c r="E115" s="4" t="s">
        <v>4</v>
      </c>
      <c r="F115" s="64" t="s">
        <v>4</v>
      </c>
      <c r="G115" s="119"/>
      <c r="H115" s="11">
        <v>46121</v>
      </c>
    </row>
    <row r="116" spans="1:13" ht="15.75" x14ac:dyDescent="0.25">
      <c r="A116" s="5" t="s">
        <v>914</v>
      </c>
      <c r="B116" s="4" t="s">
        <v>152</v>
      </c>
      <c r="C116" s="4" t="s">
        <v>38</v>
      </c>
      <c r="D116" s="121">
        <v>54.14</v>
      </c>
      <c r="E116" s="4" t="s">
        <v>4</v>
      </c>
      <c r="F116" s="64" t="s">
        <v>4</v>
      </c>
      <c r="G116" s="119"/>
      <c r="H116" s="11">
        <v>46121</v>
      </c>
    </row>
    <row r="117" spans="1:13" ht="15.75" x14ac:dyDescent="0.25">
      <c r="A117" s="5" t="s">
        <v>957</v>
      </c>
      <c r="B117" s="4" t="s">
        <v>133</v>
      </c>
      <c r="C117" s="4" t="s">
        <v>38</v>
      </c>
      <c r="D117" s="12">
        <v>479.29</v>
      </c>
      <c r="E117" s="4" t="s">
        <v>4</v>
      </c>
      <c r="F117" s="64" t="s">
        <v>4</v>
      </c>
      <c r="G117" s="23"/>
      <c r="H117" s="11">
        <v>46121</v>
      </c>
    </row>
    <row r="118" spans="1:13" ht="15.75" x14ac:dyDescent="0.25">
      <c r="A118" s="5" t="s">
        <v>958</v>
      </c>
      <c r="B118" s="4" t="s">
        <v>148</v>
      </c>
      <c r="C118" s="4" t="s">
        <v>38</v>
      </c>
      <c r="D118" s="12">
        <v>114</v>
      </c>
      <c r="E118" s="4" t="s">
        <v>4</v>
      </c>
      <c r="F118" s="64" t="s">
        <v>4</v>
      </c>
      <c r="G118" s="23"/>
      <c r="H118" s="11">
        <v>46121</v>
      </c>
      <c r="M118" t="s">
        <v>487</v>
      </c>
    </row>
    <row r="119" spans="1:13" ht="15.75" x14ac:dyDescent="0.25">
      <c r="A119" s="5" t="s">
        <v>941</v>
      </c>
      <c r="B119" s="4" t="s">
        <v>148</v>
      </c>
      <c r="C119" s="4" t="s">
        <v>38</v>
      </c>
      <c r="D119" s="121">
        <v>500</v>
      </c>
      <c r="E119" s="4" t="s">
        <v>4</v>
      </c>
      <c r="F119" s="64" t="s">
        <v>4</v>
      </c>
      <c r="G119" s="119"/>
      <c r="H119" s="11">
        <v>46121</v>
      </c>
    </row>
    <row r="120" spans="1:13" ht="15.75" x14ac:dyDescent="0.25">
      <c r="A120" s="5" t="s">
        <v>915</v>
      </c>
      <c r="B120" s="4" t="s">
        <v>148</v>
      </c>
      <c r="C120" s="4" t="s">
        <v>38</v>
      </c>
      <c r="D120" s="121">
        <v>100</v>
      </c>
      <c r="E120" s="4" t="s">
        <v>4</v>
      </c>
      <c r="F120" s="64" t="s">
        <v>4</v>
      </c>
      <c r="G120" s="119"/>
      <c r="H120" s="11">
        <v>46121</v>
      </c>
    </row>
    <row r="121" spans="1:13" ht="15.75" x14ac:dyDescent="0.25">
      <c r="A121" s="5" t="s">
        <v>916</v>
      </c>
      <c r="B121" s="4" t="s">
        <v>148</v>
      </c>
      <c r="C121" s="4" t="s">
        <v>38</v>
      </c>
      <c r="D121" s="121">
        <v>130</v>
      </c>
      <c r="E121" s="4" t="s">
        <v>4</v>
      </c>
      <c r="F121" s="64" t="s">
        <v>4</v>
      </c>
      <c r="G121" s="119"/>
      <c r="H121" s="11">
        <v>46121</v>
      </c>
    </row>
    <row r="122" spans="1:13" ht="15.75" x14ac:dyDescent="0.25">
      <c r="A122" s="5" t="s">
        <v>919</v>
      </c>
      <c r="B122" s="4" t="s">
        <v>148</v>
      </c>
      <c r="C122" s="4" t="s">
        <v>38</v>
      </c>
      <c r="D122" s="121">
        <v>50</v>
      </c>
      <c r="E122" s="4" t="s">
        <v>4</v>
      </c>
      <c r="F122" s="64" t="s">
        <v>4</v>
      </c>
      <c r="G122" s="119"/>
      <c r="H122" s="120">
        <v>46122</v>
      </c>
    </row>
    <row r="123" spans="1:13" ht="15.75" x14ac:dyDescent="0.25">
      <c r="A123" s="5" t="s">
        <v>920</v>
      </c>
      <c r="B123" s="4" t="s">
        <v>148</v>
      </c>
      <c r="C123" s="4" t="s">
        <v>38</v>
      </c>
      <c r="D123" s="121">
        <v>250</v>
      </c>
      <c r="E123" s="4" t="s">
        <v>4</v>
      </c>
      <c r="F123" s="64" t="s">
        <v>4</v>
      </c>
      <c r="G123" s="119"/>
      <c r="H123" s="120">
        <v>46122</v>
      </c>
    </row>
    <row r="124" spans="1:13" ht="15.75" x14ac:dyDescent="0.25">
      <c r="A124" s="5" t="s">
        <v>926</v>
      </c>
      <c r="B124" s="4" t="s">
        <v>148</v>
      </c>
      <c r="C124" s="4" t="s">
        <v>38</v>
      </c>
      <c r="D124" s="121">
        <v>50</v>
      </c>
      <c r="E124" s="4" t="s">
        <v>4</v>
      </c>
      <c r="F124" s="64" t="s">
        <v>4</v>
      </c>
      <c r="G124" s="119"/>
      <c r="H124" s="120">
        <v>46122</v>
      </c>
    </row>
    <row r="125" spans="1:13" ht="15.75" x14ac:dyDescent="0.25">
      <c r="A125" s="5" t="s">
        <v>921</v>
      </c>
      <c r="B125" s="4" t="s">
        <v>149</v>
      </c>
      <c r="C125" s="4" t="s">
        <v>38</v>
      </c>
      <c r="D125" s="121">
        <v>53.07</v>
      </c>
      <c r="E125" s="4" t="s">
        <v>4</v>
      </c>
      <c r="F125" s="64" t="s">
        <v>4</v>
      </c>
      <c r="G125" s="119"/>
      <c r="H125" s="120">
        <v>46122</v>
      </c>
    </row>
    <row r="126" spans="1:13" ht="15.75" x14ac:dyDescent="0.25">
      <c r="A126" s="5" t="s">
        <v>922</v>
      </c>
      <c r="B126" s="4" t="s">
        <v>152</v>
      </c>
      <c r="C126" s="4" t="s">
        <v>38</v>
      </c>
      <c r="D126" s="121">
        <f>16*4</f>
        <v>64</v>
      </c>
      <c r="E126" s="4" t="s">
        <v>4</v>
      </c>
      <c r="F126" s="64" t="s">
        <v>4</v>
      </c>
      <c r="G126" s="119"/>
      <c r="H126" s="120">
        <v>46122</v>
      </c>
    </row>
    <row r="127" spans="1:13" ht="15.75" x14ac:dyDescent="0.25">
      <c r="A127" s="5" t="s">
        <v>196</v>
      </c>
      <c r="B127" s="4" t="s">
        <v>149</v>
      </c>
      <c r="C127" s="4" t="s">
        <v>39</v>
      </c>
      <c r="D127" s="13">
        <v>759.17</v>
      </c>
      <c r="E127" s="4" t="s">
        <v>4</v>
      </c>
      <c r="F127" s="64" t="s">
        <v>4</v>
      </c>
      <c r="G127" s="119"/>
      <c r="H127" s="120">
        <v>46122</v>
      </c>
    </row>
    <row r="128" spans="1:13" ht="15.75" x14ac:dyDescent="0.25">
      <c r="A128" s="5" t="s">
        <v>925</v>
      </c>
      <c r="B128" s="4" t="s">
        <v>15</v>
      </c>
      <c r="C128" s="4" t="s">
        <v>15</v>
      </c>
      <c r="D128" s="121">
        <v>372.58</v>
      </c>
      <c r="E128" s="4" t="s">
        <v>4</v>
      </c>
      <c r="F128" s="64" t="s">
        <v>4</v>
      </c>
      <c r="G128" s="23" t="s">
        <v>92</v>
      </c>
      <c r="H128" s="120">
        <v>46122</v>
      </c>
    </row>
    <row r="129" spans="1:8" ht="15.75" x14ac:dyDescent="0.25">
      <c r="A129" s="5" t="s">
        <v>924</v>
      </c>
      <c r="B129" s="4" t="s">
        <v>15</v>
      </c>
      <c r="C129" s="4" t="s">
        <v>15</v>
      </c>
      <c r="D129" s="121">
        <v>160.78</v>
      </c>
      <c r="E129" s="4" t="s">
        <v>4</v>
      </c>
      <c r="F129" s="64" t="s">
        <v>4</v>
      </c>
      <c r="G129" s="23" t="s">
        <v>92</v>
      </c>
      <c r="H129" s="120">
        <v>46122</v>
      </c>
    </row>
    <row r="130" spans="1:8" ht="15.75" x14ac:dyDescent="0.25">
      <c r="A130" s="5" t="s">
        <v>268</v>
      </c>
      <c r="B130" s="4" t="s">
        <v>15</v>
      </c>
      <c r="C130" s="4" t="s">
        <v>15</v>
      </c>
      <c r="D130" s="99">
        <v>216.42</v>
      </c>
      <c r="E130" s="4" t="s">
        <v>4</v>
      </c>
      <c r="F130" s="64" t="s">
        <v>4</v>
      </c>
      <c r="G130" s="53" t="s">
        <v>92</v>
      </c>
      <c r="H130" s="11">
        <v>46122</v>
      </c>
    </row>
    <row r="131" spans="1:8" ht="15.75" x14ac:dyDescent="0.25">
      <c r="A131" s="5" t="s">
        <v>212</v>
      </c>
      <c r="B131" s="4" t="s">
        <v>15</v>
      </c>
      <c r="C131" s="4" t="s">
        <v>15</v>
      </c>
      <c r="D131" s="99">
        <v>333.83</v>
      </c>
      <c r="E131" s="4" t="s">
        <v>4</v>
      </c>
      <c r="F131" s="64" t="s">
        <v>4</v>
      </c>
      <c r="G131" s="53" t="s">
        <v>92</v>
      </c>
      <c r="H131" s="11">
        <v>46122</v>
      </c>
    </row>
    <row r="132" spans="1:8" ht="15.75" x14ac:dyDescent="0.25">
      <c r="A132" s="5" t="s">
        <v>923</v>
      </c>
      <c r="B132" s="4" t="s">
        <v>15</v>
      </c>
      <c r="C132" s="4" t="s">
        <v>15</v>
      </c>
      <c r="D132" s="99">
        <v>314.77</v>
      </c>
      <c r="E132" s="4" t="s">
        <v>4</v>
      </c>
      <c r="F132" s="64" t="s">
        <v>4</v>
      </c>
      <c r="G132" s="53" t="s">
        <v>92</v>
      </c>
      <c r="H132" s="120">
        <v>46122</v>
      </c>
    </row>
    <row r="133" spans="1:8" ht="15.75" x14ac:dyDescent="0.25">
      <c r="A133" s="5" t="s">
        <v>211</v>
      </c>
      <c r="B133" s="4" t="s">
        <v>15</v>
      </c>
      <c r="C133" s="4" t="s">
        <v>15</v>
      </c>
      <c r="D133" s="121">
        <v>121.71</v>
      </c>
      <c r="E133" s="4" t="s">
        <v>4</v>
      </c>
      <c r="F133" s="64" t="s">
        <v>4</v>
      </c>
      <c r="G133" s="23" t="s">
        <v>92</v>
      </c>
      <c r="H133" s="120">
        <v>46122</v>
      </c>
    </row>
    <row r="134" spans="1:8" ht="15.75" x14ac:dyDescent="0.25">
      <c r="A134" s="5" t="s">
        <v>203</v>
      </c>
      <c r="B134" s="4" t="s">
        <v>15</v>
      </c>
      <c r="C134" s="4" t="s">
        <v>15</v>
      </c>
      <c r="D134" s="121">
        <v>422.93</v>
      </c>
      <c r="E134" s="4" t="s">
        <v>4</v>
      </c>
      <c r="F134" s="64" t="s">
        <v>4</v>
      </c>
      <c r="G134" s="23" t="s">
        <v>92</v>
      </c>
      <c r="H134" s="120">
        <v>46122</v>
      </c>
    </row>
    <row r="135" spans="1:8" ht="15.75" x14ac:dyDescent="0.25">
      <c r="A135" s="5" t="s">
        <v>927</v>
      </c>
      <c r="B135" s="4" t="s">
        <v>148</v>
      </c>
      <c r="C135" s="4" t="s">
        <v>38</v>
      </c>
      <c r="D135" s="121">
        <v>616.28</v>
      </c>
      <c r="E135" s="4" t="s">
        <v>4</v>
      </c>
      <c r="F135" s="64" t="s">
        <v>4</v>
      </c>
      <c r="G135" s="23" t="s">
        <v>119</v>
      </c>
      <c r="H135" s="120">
        <v>46122</v>
      </c>
    </row>
    <row r="136" spans="1:8" ht="15.75" x14ac:dyDescent="0.25">
      <c r="A136" s="5" t="s">
        <v>930</v>
      </c>
      <c r="B136" s="4" t="s">
        <v>15</v>
      </c>
      <c r="C136" s="4" t="s">
        <v>15</v>
      </c>
      <c r="D136" s="121">
        <v>300</v>
      </c>
      <c r="E136" s="4" t="s">
        <v>4</v>
      </c>
      <c r="F136" s="64" t="s">
        <v>4</v>
      </c>
      <c r="G136" s="23" t="s">
        <v>69</v>
      </c>
      <c r="H136" s="120">
        <v>46122</v>
      </c>
    </row>
    <row r="137" spans="1:8" ht="15.75" x14ac:dyDescent="0.25">
      <c r="A137" s="5" t="s">
        <v>929</v>
      </c>
      <c r="B137" s="4" t="s">
        <v>15</v>
      </c>
      <c r="C137" s="4" t="s">
        <v>15</v>
      </c>
      <c r="D137" s="121">
        <v>2425</v>
      </c>
      <c r="E137" s="4" t="s">
        <v>4</v>
      </c>
      <c r="F137" s="64" t="s">
        <v>4</v>
      </c>
      <c r="G137" s="23" t="s">
        <v>69</v>
      </c>
      <c r="H137" s="120">
        <v>46122</v>
      </c>
    </row>
    <row r="138" spans="1:8" ht="15.75" x14ac:dyDescent="0.25">
      <c r="A138" s="5" t="s">
        <v>928</v>
      </c>
      <c r="B138" s="4" t="s">
        <v>15</v>
      </c>
      <c r="C138" s="4" t="s">
        <v>15</v>
      </c>
      <c r="D138" s="121">
        <v>2775</v>
      </c>
      <c r="E138" s="4" t="s">
        <v>4</v>
      </c>
      <c r="F138" s="64" t="s">
        <v>4</v>
      </c>
      <c r="G138" s="23" t="s">
        <v>69</v>
      </c>
      <c r="H138" s="120">
        <v>46122</v>
      </c>
    </row>
    <row r="139" spans="1:8" ht="15.75" x14ac:dyDescent="0.25">
      <c r="A139" s="5" t="s">
        <v>920</v>
      </c>
      <c r="B139" s="4" t="s">
        <v>148</v>
      </c>
      <c r="C139" s="4" t="s">
        <v>38</v>
      </c>
      <c r="D139" s="121">
        <v>112.98</v>
      </c>
      <c r="E139" s="4" t="s">
        <v>4</v>
      </c>
      <c r="F139" s="64" t="s">
        <v>4</v>
      </c>
      <c r="G139" s="119"/>
      <c r="H139" s="120">
        <v>46122</v>
      </c>
    </row>
    <row r="140" spans="1:8" ht="15.75" x14ac:dyDescent="0.25">
      <c r="A140" s="5" t="s">
        <v>933</v>
      </c>
      <c r="B140" s="4" t="s">
        <v>15</v>
      </c>
      <c r="C140" s="4" t="s">
        <v>15</v>
      </c>
      <c r="D140" s="121">
        <v>150</v>
      </c>
      <c r="E140" s="4" t="s">
        <v>4</v>
      </c>
      <c r="F140" s="64" t="s">
        <v>4</v>
      </c>
      <c r="G140" s="119"/>
      <c r="H140" s="120">
        <v>46122</v>
      </c>
    </row>
    <row r="141" spans="1:8" ht="15.75" x14ac:dyDescent="0.25">
      <c r="A141" s="5" t="s">
        <v>931</v>
      </c>
      <c r="B141" s="4" t="s">
        <v>15</v>
      </c>
      <c r="C141" s="4" t="s">
        <v>15</v>
      </c>
      <c r="D141" s="121">
        <v>150</v>
      </c>
      <c r="E141" s="4" t="s">
        <v>4</v>
      </c>
      <c r="F141" s="64" t="s">
        <v>4</v>
      </c>
      <c r="G141" s="119"/>
      <c r="H141" s="120">
        <v>46122</v>
      </c>
    </row>
    <row r="142" spans="1:8" ht="15.75" x14ac:dyDescent="0.25">
      <c r="A142" s="5" t="s">
        <v>932</v>
      </c>
      <c r="B142" s="4" t="s">
        <v>15</v>
      </c>
      <c r="C142" s="4" t="s">
        <v>15</v>
      </c>
      <c r="D142" s="121">
        <v>50</v>
      </c>
      <c r="E142" s="4" t="s">
        <v>4</v>
      </c>
      <c r="F142" s="64" t="s">
        <v>4</v>
      </c>
      <c r="G142" s="119"/>
      <c r="H142" s="120">
        <v>46122</v>
      </c>
    </row>
    <row r="143" spans="1:8" ht="15.75" x14ac:dyDescent="0.25">
      <c r="A143" s="5" t="s">
        <v>934</v>
      </c>
      <c r="B143" s="4" t="s">
        <v>15</v>
      </c>
      <c r="C143" s="4" t="s">
        <v>15</v>
      </c>
      <c r="D143" s="121">
        <f>150*3</f>
        <v>450</v>
      </c>
      <c r="E143" s="4" t="s">
        <v>4</v>
      </c>
      <c r="F143" s="64" t="s">
        <v>4</v>
      </c>
      <c r="G143" s="23" t="s">
        <v>69</v>
      </c>
      <c r="H143" s="120">
        <v>46122</v>
      </c>
    </row>
    <row r="144" spans="1:8" ht="15.75" x14ac:dyDescent="0.25">
      <c r="A144" s="5" t="s">
        <v>935</v>
      </c>
      <c r="B144" s="4" t="s">
        <v>15</v>
      </c>
      <c r="C144" s="4" t="s">
        <v>15</v>
      </c>
      <c r="D144" s="121">
        <v>450</v>
      </c>
      <c r="E144" s="4" t="s">
        <v>4</v>
      </c>
      <c r="F144" s="64" t="s">
        <v>4</v>
      </c>
      <c r="G144" s="119"/>
      <c r="H144" s="120">
        <v>46122</v>
      </c>
    </row>
    <row r="145" spans="1:8" ht="15.75" x14ac:dyDescent="0.25">
      <c r="A145" s="5" t="s">
        <v>936</v>
      </c>
      <c r="B145" s="4" t="s">
        <v>15</v>
      </c>
      <c r="C145" s="4" t="s">
        <v>15</v>
      </c>
      <c r="D145" s="121">
        <f>150*6</f>
        <v>900</v>
      </c>
      <c r="E145" s="4" t="s">
        <v>4</v>
      </c>
      <c r="F145" s="64" t="s">
        <v>4</v>
      </c>
      <c r="G145" s="23" t="s">
        <v>69</v>
      </c>
      <c r="H145" s="120">
        <v>46122</v>
      </c>
    </row>
    <row r="146" spans="1:8" ht="15.75" x14ac:dyDescent="0.25">
      <c r="A146" s="5" t="s">
        <v>937</v>
      </c>
      <c r="B146" s="4" t="s">
        <v>15</v>
      </c>
      <c r="C146" s="4" t="s">
        <v>15</v>
      </c>
      <c r="D146" s="12">
        <v>150</v>
      </c>
      <c r="E146" s="4" t="s">
        <v>4</v>
      </c>
      <c r="F146" s="64" t="s">
        <v>4</v>
      </c>
      <c r="G146" s="23"/>
      <c r="H146" s="120">
        <v>46122</v>
      </c>
    </row>
    <row r="147" spans="1:8" ht="15.75" x14ac:dyDescent="0.25">
      <c r="A147" s="5" t="s">
        <v>938</v>
      </c>
      <c r="B147" s="4" t="s">
        <v>15</v>
      </c>
      <c r="C147" s="4" t="s">
        <v>15</v>
      </c>
      <c r="D147" s="12">
        <v>150</v>
      </c>
      <c r="E147" s="4" t="s">
        <v>4</v>
      </c>
      <c r="F147" s="64" t="s">
        <v>4</v>
      </c>
      <c r="G147" s="53" t="s">
        <v>69</v>
      </c>
      <c r="H147" s="94">
        <v>46122</v>
      </c>
    </row>
    <row r="148" spans="1:8" ht="15.75" x14ac:dyDescent="0.25">
      <c r="A148" s="5" t="s">
        <v>939</v>
      </c>
      <c r="B148" s="4" t="s">
        <v>148</v>
      </c>
      <c r="C148" s="4" t="s">
        <v>38</v>
      </c>
      <c r="D148" s="121">
        <v>318.5</v>
      </c>
      <c r="E148" s="4" t="s">
        <v>4</v>
      </c>
      <c r="F148" s="64" t="s">
        <v>4</v>
      </c>
      <c r="G148" s="119"/>
      <c r="H148" s="120">
        <v>46122</v>
      </c>
    </row>
    <row r="149" spans="1:8" ht="15.75" x14ac:dyDescent="0.25">
      <c r="A149" s="5" t="s">
        <v>77</v>
      </c>
      <c r="B149" s="4" t="s">
        <v>148</v>
      </c>
      <c r="C149" s="4" t="s">
        <v>38</v>
      </c>
      <c r="D149" s="13">
        <v>29</v>
      </c>
      <c r="E149" s="4" t="s">
        <v>4</v>
      </c>
      <c r="F149" s="64" t="s">
        <v>4</v>
      </c>
      <c r="G149" s="119"/>
      <c r="H149" s="120">
        <v>46125</v>
      </c>
    </row>
    <row r="150" spans="1:8" ht="15.75" x14ac:dyDescent="0.25">
      <c r="A150" s="5" t="s">
        <v>940</v>
      </c>
      <c r="B150" s="4" t="s">
        <v>141</v>
      </c>
      <c r="C150" s="4" t="s">
        <v>39</v>
      </c>
      <c r="D150" s="12">
        <v>902.72</v>
      </c>
      <c r="E150" s="4" t="s">
        <v>4</v>
      </c>
      <c r="F150" s="64" t="s">
        <v>4</v>
      </c>
      <c r="G150" s="23"/>
      <c r="H150" s="120">
        <v>46125</v>
      </c>
    </row>
    <row r="151" spans="1:8" ht="15.75" x14ac:dyDescent="0.25">
      <c r="A151" s="5" t="s">
        <v>161</v>
      </c>
      <c r="B151" s="4" t="s">
        <v>148</v>
      </c>
      <c r="C151" s="4" t="s">
        <v>38</v>
      </c>
      <c r="D151" s="33">
        <v>147.56</v>
      </c>
      <c r="E151" s="4" t="s">
        <v>4</v>
      </c>
      <c r="F151" s="64" t="s">
        <v>4</v>
      </c>
      <c r="G151" s="53" t="s">
        <v>69</v>
      </c>
      <c r="H151" s="120">
        <v>46125</v>
      </c>
    </row>
    <row r="152" spans="1:8" ht="15.75" x14ac:dyDescent="0.25">
      <c r="A152" s="5" t="s">
        <v>500</v>
      </c>
      <c r="B152" s="4" t="s">
        <v>148</v>
      </c>
      <c r="C152" s="4" t="s">
        <v>38</v>
      </c>
      <c r="D152" s="121">
        <v>10</v>
      </c>
      <c r="E152" s="4" t="s">
        <v>4</v>
      </c>
      <c r="F152" s="64" t="s">
        <v>4</v>
      </c>
      <c r="G152" s="119"/>
      <c r="H152" s="120">
        <v>46125</v>
      </c>
    </row>
    <row r="153" spans="1:8" ht="15.75" x14ac:dyDescent="0.25">
      <c r="A153" s="5" t="s">
        <v>942</v>
      </c>
      <c r="B153" s="4" t="s">
        <v>148</v>
      </c>
      <c r="C153" s="4" t="s">
        <v>38</v>
      </c>
      <c r="D153" s="33">
        <v>270</v>
      </c>
      <c r="E153" s="4" t="s">
        <v>4</v>
      </c>
      <c r="F153" s="64" t="s">
        <v>4</v>
      </c>
      <c r="G153" s="53" t="s">
        <v>69</v>
      </c>
      <c r="H153" s="120">
        <v>46125</v>
      </c>
    </row>
    <row r="154" spans="1:8" ht="15.75" x14ac:dyDescent="0.25">
      <c r="A154" s="5" t="s">
        <v>943</v>
      </c>
      <c r="B154" s="4" t="s">
        <v>148</v>
      </c>
      <c r="C154" s="4" t="s">
        <v>38</v>
      </c>
      <c r="D154" s="12">
        <v>147.58000000000001</v>
      </c>
      <c r="E154" s="4" t="s">
        <v>4</v>
      </c>
      <c r="F154" s="64" t="s">
        <v>4</v>
      </c>
      <c r="G154" s="53" t="s">
        <v>69</v>
      </c>
      <c r="H154" s="120">
        <v>46125</v>
      </c>
    </row>
    <row r="155" spans="1:8" ht="15.75" x14ac:dyDescent="0.25">
      <c r="A155" s="5" t="s">
        <v>944</v>
      </c>
      <c r="B155" s="4" t="s">
        <v>141</v>
      </c>
      <c r="C155" s="4" t="s">
        <v>39</v>
      </c>
      <c r="D155" s="13">
        <v>861.75</v>
      </c>
      <c r="E155" s="4" t="s">
        <v>4</v>
      </c>
      <c r="F155" s="64" t="s">
        <v>4</v>
      </c>
      <c r="G155" s="53" t="s">
        <v>93</v>
      </c>
      <c r="H155" s="120">
        <v>46125</v>
      </c>
    </row>
    <row r="156" spans="1:8" ht="15.75" x14ac:dyDescent="0.25">
      <c r="A156" s="5" t="s">
        <v>32</v>
      </c>
      <c r="B156" s="4" t="s">
        <v>133</v>
      </c>
      <c r="C156" s="4" t="s">
        <v>38</v>
      </c>
      <c r="D156" s="12">
        <v>666.68</v>
      </c>
      <c r="E156" s="4" t="s">
        <v>4</v>
      </c>
      <c r="F156" s="64" t="s">
        <v>4</v>
      </c>
      <c r="G156" s="53" t="s">
        <v>100</v>
      </c>
      <c r="H156" s="120">
        <v>46125</v>
      </c>
    </row>
    <row r="157" spans="1:8" ht="15.75" x14ac:dyDescent="0.25">
      <c r="A157" s="5" t="s">
        <v>945</v>
      </c>
      <c r="B157" s="4" t="s">
        <v>141</v>
      </c>
      <c r="C157" s="4" t="s">
        <v>39</v>
      </c>
      <c r="D157" s="13">
        <v>1622.91</v>
      </c>
      <c r="E157" s="4" t="s">
        <v>4</v>
      </c>
      <c r="F157" s="64" t="s">
        <v>4</v>
      </c>
      <c r="G157" s="53" t="s">
        <v>100</v>
      </c>
      <c r="H157" s="120">
        <v>46125</v>
      </c>
    </row>
    <row r="158" spans="1:8" ht="15.75" x14ac:dyDescent="0.25">
      <c r="A158" s="5" t="s">
        <v>227</v>
      </c>
      <c r="B158" s="4" t="s">
        <v>133</v>
      </c>
      <c r="C158" s="4" t="s">
        <v>38</v>
      </c>
      <c r="D158" s="121">
        <v>860.91</v>
      </c>
      <c r="E158" s="4" t="s">
        <v>4</v>
      </c>
      <c r="F158" s="64" t="s">
        <v>4</v>
      </c>
      <c r="G158" s="23" t="s">
        <v>100</v>
      </c>
      <c r="H158" s="120">
        <v>46125</v>
      </c>
    </row>
    <row r="159" spans="1:8" ht="15.75" x14ac:dyDescent="0.25">
      <c r="A159" s="5" t="s">
        <v>73</v>
      </c>
      <c r="B159" s="4" t="s">
        <v>149</v>
      </c>
      <c r="C159" s="4" t="s">
        <v>38</v>
      </c>
      <c r="D159" s="43">
        <v>229</v>
      </c>
      <c r="E159" s="4" t="s">
        <v>4</v>
      </c>
      <c r="F159" s="64" t="s">
        <v>4</v>
      </c>
      <c r="G159" s="53" t="s">
        <v>102</v>
      </c>
      <c r="H159" s="120">
        <v>46125</v>
      </c>
    </row>
    <row r="160" spans="1:8" ht="15.75" x14ac:dyDescent="0.25">
      <c r="A160" s="5" t="s">
        <v>70</v>
      </c>
      <c r="B160" s="4" t="s">
        <v>148</v>
      </c>
      <c r="C160" s="4" t="s">
        <v>38</v>
      </c>
      <c r="D160" s="86">
        <v>13678.85</v>
      </c>
      <c r="E160" s="4" t="s">
        <v>4</v>
      </c>
      <c r="F160" s="64" t="s">
        <v>4</v>
      </c>
      <c r="G160" s="53" t="s">
        <v>101</v>
      </c>
      <c r="H160" s="120">
        <v>46125</v>
      </c>
    </row>
    <row r="161" spans="1:13" ht="15.75" x14ac:dyDescent="0.25">
      <c r="A161" s="5" t="s">
        <v>74</v>
      </c>
      <c r="B161" s="4" t="s">
        <v>149</v>
      </c>
      <c r="C161" s="4" t="s">
        <v>38</v>
      </c>
      <c r="D161" s="43">
        <v>190</v>
      </c>
      <c r="E161" s="4" t="s">
        <v>4</v>
      </c>
      <c r="F161" s="64" t="s">
        <v>4</v>
      </c>
      <c r="G161" s="53" t="s">
        <v>102</v>
      </c>
      <c r="H161" s="120">
        <v>46125</v>
      </c>
      <c r="L161" s="26"/>
      <c r="M161" s="26"/>
    </row>
    <row r="162" spans="1:13" ht="15.75" x14ac:dyDescent="0.25">
      <c r="A162" s="5" t="s">
        <v>31</v>
      </c>
      <c r="B162" s="4" t="s">
        <v>133</v>
      </c>
      <c r="C162" s="4" t="s">
        <v>38</v>
      </c>
      <c r="D162" s="122">
        <v>647.38</v>
      </c>
      <c r="E162" s="4" t="s">
        <v>4</v>
      </c>
      <c r="F162" s="64" t="s">
        <v>4</v>
      </c>
      <c r="G162" s="23" t="s">
        <v>100</v>
      </c>
      <c r="H162" s="120">
        <v>46125</v>
      </c>
      <c r="M162" s="26"/>
    </row>
    <row r="163" spans="1:13" ht="15.75" x14ac:dyDescent="0.25">
      <c r="A163" s="5" t="s">
        <v>29</v>
      </c>
      <c r="B163" s="4" t="s">
        <v>152</v>
      </c>
      <c r="C163" s="4" t="s">
        <v>38</v>
      </c>
      <c r="D163" s="122">
        <v>157.44999999999999</v>
      </c>
      <c r="E163" s="4" t="s">
        <v>4</v>
      </c>
      <c r="F163" s="64" t="s">
        <v>4</v>
      </c>
      <c r="G163" s="23" t="s">
        <v>100</v>
      </c>
      <c r="H163" s="120">
        <v>46125</v>
      </c>
    </row>
    <row r="164" spans="1:13" ht="15.75" x14ac:dyDescent="0.25">
      <c r="A164" s="5" t="s">
        <v>193</v>
      </c>
      <c r="B164" s="4" t="s">
        <v>148</v>
      </c>
      <c r="C164" s="4" t="s">
        <v>38</v>
      </c>
      <c r="D164" s="33">
        <v>130</v>
      </c>
      <c r="E164" s="4" t="s">
        <v>4</v>
      </c>
      <c r="F164" s="64" t="s">
        <v>4</v>
      </c>
      <c r="G164" s="89"/>
      <c r="H164" s="120">
        <v>46125</v>
      </c>
    </row>
    <row r="165" spans="1:13" ht="15.75" x14ac:dyDescent="0.25">
      <c r="A165" s="5" t="s">
        <v>947</v>
      </c>
      <c r="B165" s="4" t="s">
        <v>84</v>
      </c>
      <c r="C165" s="4" t="s">
        <v>38</v>
      </c>
      <c r="D165" s="122">
        <v>100.68</v>
      </c>
      <c r="E165" s="4" t="s">
        <v>4</v>
      </c>
      <c r="F165" s="64" t="s">
        <v>4</v>
      </c>
      <c r="G165" s="23" t="s">
        <v>102</v>
      </c>
      <c r="H165" s="120">
        <v>46125</v>
      </c>
    </row>
    <row r="166" spans="1:13" ht="15.75" x14ac:dyDescent="0.25">
      <c r="A166" s="5" t="s">
        <v>948</v>
      </c>
      <c r="B166" s="4" t="s">
        <v>84</v>
      </c>
      <c r="C166" s="4" t="s">
        <v>38</v>
      </c>
      <c r="D166" s="122">
        <v>108.34</v>
      </c>
      <c r="E166" s="4" t="s">
        <v>4</v>
      </c>
      <c r="F166" s="64" t="s">
        <v>4</v>
      </c>
      <c r="G166" s="23" t="s">
        <v>102</v>
      </c>
      <c r="H166" s="120">
        <v>46125</v>
      </c>
    </row>
    <row r="167" spans="1:13" ht="15.75" x14ac:dyDescent="0.25">
      <c r="A167" s="5" t="s">
        <v>949</v>
      </c>
      <c r="B167" s="4" t="s">
        <v>84</v>
      </c>
      <c r="C167" s="4" t="s">
        <v>38</v>
      </c>
      <c r="D167" s="122">
        <v>187.9</v>
      </c>
      <c r="E167" s="4" t="s">
        <v>4</v>
      </c>
      <c r="F167" s="64" t="s">
        <v>4</v>
      </c>
      <c r="G167" s="23" t="s">
        <v>102</v>
      </c>
      <c r="H167" s="120">
        <v>46125</v>
      </c>
    </row>
    <row r="168" spans="1:13" ht="15.75" x14ac:dyDescent="0.25">
      <c r="A168" s="5" t="s">
        <v>950</v>
      </c>
      <c r="B168" s="4" t="s">
        <v>84</v>
      </c>
      <c r="C168" s="4" t="s">
        <v>38</v>
      </c>
      <c r="D168" s="122">
        <v>187.9</v>
      </c>
      <c r="E168" s="4" t="s">
        <v>4</v>
      </c>
      <c r="F168" s="64" t="s">
        <v>4</v>
      </c>
      <c r="G168" s="23" t="s">
        <v>102</v>
      </c>
      <c r="H168" s="120">
        <v>46125</v>
      </c>
    </row>
    <row r="169" spans="1:13" ht="15.75" x14ac:dyDescent="0.25">
      <c r="A169" s="5" t="s">
        <v>951</v>
      </c>
      <c r="B169" s="4" t="s">
        <v>84</v>
      </c>
      <c r="C169" s="4" t="s">
        <v>38</v>
      </c>
      <c r="D169" s="122">
        <v>172.42</v>
      </c>
      <c r="E169" s="4" t="s">
        <v>4</v>
      </c>
      <c r="F169" s="64" t="s">
        <v>4</v>
      </c>
      <c r="G169" s="23" t="s">
        <v>101</v>
      </c>
      <c r="H169" s="120">
        <v>46125</v>
      </c>
    </row>
    <row r="170" spans="1:13" ht="15.75" x14ac:dyDescent="0.25">
      <c r="A170" s="5" t="s">
        <v>189</v>
      </c>
      <c r="B170" s="4" t="s">
        <v>133</v>
      </c>
      <c r="C170" s="4" t="s">
        <v>38</v>
      </c>
      <c r="D170" s="122">
        <v>927.9</v>
      </c>
      <c r="E170" s="4" t="s">
        <v>4</v>
      </c>
      <c r="F170" s="64" t="s">
        <v>4</v>
      </c>
      <c r="G170" s="23" t="s">
        <v>101</v>
      </c>
      <c r="H170" s="120">
        <v>46125</v>
      </c>
    </row>
    <row r="171" spans="1:13" ht="15.75" x14ac:dyDescent="0.25">
      <c r="A171" s="5" t="s">
        <v>952</v>
      </c>
      <c r="B171" s="4" t="s">
        <v>136</v>
      </c>
      <c r="C171" s="4" t="s">
        <v>39</v>
      </c>
      <c r="D171" s="122">
        <v>184.74</v>
      </c>
      <c r="E171" s="4" t="s">
        <v>4</v>
      </c>
      <c r="F171" s="64" t="s">
        <v>4</v>
      </c>
      <c r="G171" s="23" t="s">
        <v>101</v>
      </c>
      <c r="H171" s="120">
        <v>46125</v>
      </c>
    </row>
    <row r="172" spans="1:13" ht="15.75" x14ac:dyDescent="0.25">
      <c r="A172" s="5" t="s">
        <v>36</v>
      </c>
      <c r="B172" s="4" t="s">
        <v>134</v>
      </c>
      <c r="C172" s="4" t="s">
        <v>38</v>
      </c>
      <c r="D172" s="46">
        <v>119.9</v>
      </c>
      <c r="E172" s="4" t="s">
        <v>4</v>
      </c>
      <c r="F172" s="64" t="s">
        <v>4</v>
      </c>
      <c r="G172" s="53" t="s">
        <v>102</v>
      </c>
      <c r="H172" s="120">
        <v>46125</v>
      </c>
    </row>
    <row r="173" spans="1:13" ht="15.75" x14ac:dyDescent="0.25">
      <c r="A173" s="5" t="s">
        <v>954</v>
      </c>
      <c r="B173" s="4" t="s">
        <v>84</v>
      </c>
      <c r="C173" s="4" t="s">
        <v>38</v>
      </c>
      <c r="D173" s="121">
        <v>45.02</v>
      </c>
      <c r="E173" s="4" t="s">
        <v>4</v>
      </c>
      <c r="F173" s="64" t="s">
        <v>4</v>
      </c>
      <c r="G173" s="23" t="s">
        <v>101</v>
      </c>
      <c r="H173" s="120">
        <v>46125</v>
      </c>
    </row>
    <row r="174" spans="1:13" ht="15.75" x14ac:dyDescent="0.25">
      <c r="A174" s="5" t="s">
        <v>953</v>
      </c>
      <c r="B174" s="4" t="s">
        <v>84</v>
      </c>
      <c r="C174" s="4" t="s">
        <v>38</v>
      </c>
      <c r="D174" s="33">
        <v>132.24</v>
      </c>
      <c r="E174" s="4" t="s">
        <v>4</v>
      </c>
      <c r="F174" s="64" t="s">
        <v>4</v>
      </c>
      <c r="G174" s="23" t="s">
        <v>101</v>
      </c>
      <c r="H174" s="120">
        <v>46125</v>
      </c>
    </row>
    <row r="175" spans="1:13" ht="15.75" x14ac:dyDescent="0.25">
      <c r="A175" s="5" t="s">
        <v>315</v>
      </c>
      <c r="B175" s="4" t="s">
        <v>84</v>
      </c>
      <c r="C175" s="4" t="s">
        <v>38</v>
      </c>
      <c r="D175" s="12">
        <v>10433.77</v>
      </c>
      <c r="E175" s="4" t="s">
        <v>4</v>
      </c>
      <c r="F175" s="64" t="s">
        <v>4</v>
      </c>
      <c r="G175" s="53" t="s">
        <v>96</v>
      </c>
      <c r="H175" s="120">
        <v>46125</v>
      </c>
    </row>
    <row r="176" spans="1:13" ht="15.75" x14ac:dyDescent="0.25">
      <c r="A176" s="5" t="s">
        <v>316</v>
      </c>
      <c r="B176" s="4" t="s">
        <v>84</v>
      </c>
      <c r="C176" s="4" t="s">
        <v>38</v>
      </c>
      <c r="D176" s="12">
        <v>10413.530000000001</v>
      </c>
      <c r="E176" s="4" t="s">
        <v>4</v>
      </c>
      <c r="F176" s="64" t="s">
        <v>4</v>
      </c>
      <c r="G176" s="53" t="s">
        <v>96</v>
      </c>
      <c r="H176" s="120">
        <v>46125</v>
      </c>
    </row>
    <row r="177" spans="1:15" ht="15.75" x14ac:dyDescent="0.25">
      <c r="A177" s="5" t="s">
        <v>955</v>
      </c>
      <c r="B177" s="4" t="s">
        <v>84</v>
      </c>
      <c r="C177" s="4" t="s">
        <v>38</v>
      </c>
      <c r="D177" s="122">
        <v>3793.08</v>
      </c>
      <c r="E177" s="4" t="s">
        <v>4</v>
      </c>
      <c r="F177" s="64" t="s">
        <v>4</v>
      </c>
      <c r="G177" s="23" t="s">
        <v>96</v>
      </c>
      <c r="H177" s="120">
        <v>46125</v>
      </c>
    </row>
    <row r="178" spans="1:15" ht="15.75" x14ac:dyDescent="0.25">
      <c r="A178" s="5" t="s">
        <v>956</v>
      </c>
      <c r="B178" s="4" t="s">
        <v>84</v>
      </c>
      <c r="C178" s="4" t="s">
        <v>38</v>
      </c>
      <c r="D178" s="122">
        <v>3793.08</v>
      </c>
      <c r="E178" s="4" t="s">
        <v>4</v>
      </c>
      <c r="F178" s="64" t="s">
        <v>4</v>
      </c>
      <c r="G178" s="23" t="s">
        <v>96</v>
      </c>
      <c r="H178" s="120">
        <v>46125</v>
      </c>
    </row>
    <row r="179" spans="1:15" ht="15.75" x14ac:dyDescent="0.25">
      <c r="A179" s="5" t="s">
        <v>87</v>
      </c>
      <c r="B179" s="4" t="s">
        <v>148</v>
      </c>
      <c r="C179" s="4" t="s">
        <v>38</v>
      </c>
      <c r="D179" s="122">
        <v>120</v>
      </c>
      <c r="E179" s="4" t="s">
        <v>4</v>
      </c>
      <c r="F179" s="64" t="s">
        <v>4</v>
      </c>
      <c r="G179" s="119"/>
      <c r="H179" s="120">
        <v>46125</v>
      </c>
      <c r="K179" s="76"/>
      <c r="L179" s="77"/>
      <c r="M179" s="76"/>
      <c r="N179" s="76"/>
      <c r="O179" s="76"/>
    </row>
    <row r="180" spans="1:15" ht="15.75" x14ac:dyDescent="0.25">
      <c r="A180" s="5" t="s">
        <v>952</v>
      </c>
      <c r="B180" s="4" t="s">
        <v>136</v>
      </c>
      <c r="C180" s="4" t="s">
        <v>39</v>
      </c>
      <c r="D180" s="122">
        <v>174.94</v>
      </c>
      <c r="E180" s="4" t="s">
        <v>4</v>
      </c>
      <c r="F180" s="64" t="s">
        <v>4</v>
      </c>
      <c r="G180" s="23" t="s">
        <v>96</v>
      </c>
      <c r="H180" s="120">
        <v>46125</v>
      </c>
      <c r="K180" s="76"/>
      <c r="L180" s="76"/>
      <c r="M180" s="76"/>
      <c r="N180" s="76"/>
      <c r="O180" s="76"/>
    </row>
    <row r="181" spans="1:15" ht="15.75" x14ac:dyDescent="0.25">
      <c r="A181" s="5" t="s">
        <v>959</v>
      </c>
      <c r="B181" s="4" t="s">
        <v>148</v>
      </c>
      <c r="C181" s="4" t="s">
        <v>38</v>
      </c>
      <c r="D181" s="33">
        <v>150</v>
      </c>
      <c r="E181" s="4" t="s">
        <v>4</v>
      </c>
      <c r="F181" s="64" t="s">
        <v>4</v>
      </c>
      <c r="G181" s="89"/>
      <c r="H181" s="94">
        <v>46126</v>
      </c>
      <c r="K181" s="76"/>
      <c r="L181" s="76"/>
      <c r="M181" s="76"/>
      <c r="N181" s="76"/>
      <c r="O181" s="76"/>
    </row>
    <row r="182" spans="1:15" ht="15.75" x14ac:dyDescent="0.25">
      <c r="A182" s="5" t="s">
        <v>960</v>
      </c>
      <c r="B182" s="4" t="s">
        <v>15</v>
      </c>
      <c r="C182" s="4" t="s">
        <v>15</v>
      </c>
      <c r="D182" s="122">
        <v>163.33000000000001</v>
      </c>
      <c r="E182" s="4" t="s">
        <v>4</v>
      </c>
      <c r="F182" s="64" t="s">
        <v>4</v>
      </c>
      <c r="G182" s="119"/>
      <c r="H182" s="120">
        <v>46126</v>
      </c>
      <c r="K182" s="76"/>
      <c r="L182" s="76"/>
      <c r="M182" s="76"/>
      <c r="N182" s="76"/>
      <c r="O182" s="76"/>
    </row>
    <row r="183" spans="1:15" ht="15.75" x14ac:dyDescent="0.25">
      <c r="A183" s="5" t="s">
        <v>819</v>
      </c>
      <c r="B183" s="4" t="s">
        <v>15</v>
      </c>
      <c r="C183" s="4" t="s">
        <v>15</v>
      </c>
      <c r="D183" s="122">
        <v>270.17</v>
      </c>
      <c r="E183" s="4" t="s">
        <v>4</v>
      </c>
      <c r="F183" s="64" t="s">
        <v>4</v>
      </c>
      <c r="G183" s="119"/>
      <c r="H183" s="120">
        <v>46126</v>
      </c>
      <c r="K183" s="76"/>
      <c r="L183" s="76"/>
      <c r="M183" s="76"/>
      <c r="N183" s="76"/>
      <c r="O183" s="76"/>
    </row>
    <row r="184" spans="1:15" ht="15.75" x14ac:dyDescent="0.25">
      <c r="A184" s="5" t="s">
        <v>961</v>
      </c>
      <c r="B184" s="4" t="s">
        <v>15</v>
      </c>
      <c r="C184" s="4" t="s">
        <v>15</v>
      </c>
      <c r="D184" s="122">
        <v>816.67</v>
      </c>
      <c r="E184" s="4" t="s">
        <v>4</v>
      </c>
      <c r="F184" s="64" t="s">
        <v>4</v>
      </c>
      <c r="G184" s="119"/>
      <c r="H184" s="120">
        <v>46126</v>
      </c>
      <c r="K184" s="76"/>
      <c r="L184" s="76"/>
      <c r="M184" s="76"/>
      <c r="N184" s="76"/>
      <c r="O184" s="76"/>
    </row>
    <row r="185" spans="1:15" ht="15.75" x14ac:dyDescent="0.25">
      <c r="A185" s="5" t="s">
        <v>962</v>
      </c>
      <c r="B185" s="4" t="s">
        <v>15</v>
      </c>
      <c r="C185" s="4" t="s">
        <v>15</v>
      </c>
      <c r="D185" s="122">
        <v>1300</v>
      </c>
      <c r="E185" s="4" t="s">
        <v>4</v>
      </c>
      <c r="F185" s="64" t="s">
        <v>4</v>
      </c>
      <c r="G185" s="119"/>
      <c r="H185" s="120">
        <v>46126</v>
      </c>
      <c r="K185" s="76"/>
      <c r="L185" s="76"/>
      <c r="M185" s="76"/>
      <c r="N185" s="76"/>
      <c r="O185" s="76"/>
    </row>
    <row r="186" spans="1:15" ht="15.75" x14ac:dyDescent="0.25">
      <c r="A186" s="5" t="s">
        <v>310</v>
      </c>
      <c r="B186" s="4" t="s">
        <v>15</v>
      </c>
      <c r="C186" s="4" t="s">
        <v>15</v>
      </c>
      <c r="D186" s="33">
        <v>270</v>
      </c>
      <c r="E186" s="4" t="s">
        <v>4</v>
      </c>
      <c r="F186" s="64" t="s">
        <v>4</v>
      </c>
      <c r="G186" s="89"/>
      <c r="H186" s="94">
        <v>46126</v>
      </c>
      <c r="K186" s="76"/>
      <c r="L186" s="76"/>
      <c r="M186" s="76"/>
      <c r="N186" s="76"/>
      <c r="O186" s="76"/>
    </row>
    <row r="187" spans="1:15" ht="15.75" x14ac:dyDescent="0.25">
      <c r="A187" s="5" t="s">
        <v>566</v>
      </c>
      <c r="B187" s="4" t="s">
        <v>15</v>
      </c>
      <c r="C187" s="4" t="s">
        <v>15</v>
      </c>
      <c r="D187" s="33">
        <v>270</v>
      </c>
      <c r="E187" s="4" t="s">
        <v>4</v>
      </c>
      <c r="F187" s="64" t="s">
        <v>4</v>
      </c>
      <c r="G187" s="89"/>
      <c r="H187" s="94">
        <v>46126</v>
      </c>
      <c r="K187" s="76"/>
      <c r="L187" s="76"/>
      <c r="M187" s="76"/>
      <c r="N187" s="76"/>
      <c r="O187" s="76"/>
    </row>
    <row r="188" spans="1:15" ht="15.75" x14ac:dyDescent="0.25">
      <c r="A188" s="5" t="s">
        <v>734</v>
      </c>
      <c r="B188" s="4" t="s">
        <v>15</v>
      </c>
      <c r="C188" s="4" t="s">
        <v>15</v>
      </c>
      <c r="D188" s="121">
        <v>33.33</v>
      </c>
      <c r="E188" s="4" t="s">
        <v>4</v>
      </c>
      <c r="F188" s="64" t="s">
        <v>4</v>
      </c>
      <c r="G188" s="89"/>
      <c r="H188" s="94">
        <v>46126</v>
      </c>
      <c r="K188" s="76"/>
      <c r="L188" s="76"/>
      <c r="M188" s="76"/>
      <c r="N188" s="76"/>
      <c r="O188" s="76"/>
    </row>
    <row r="189" spans="1:15" ht="15.75" x14ac:dyDescent="0.25">
      <c r="A189" s="5" t="s">
        <v>781</v>
      </c>
      <c r="B189" s="4" t="s">
        <v>15</v>
      </c>
      <c r="C189" s="4" t="s">
        <v>15</v>
      </c>
      <c r="D189" s="121">
        <v>273.33</v>
      </c>
      <c r="E189" s="4" t="s">
        <v>4</v>
      </c>
      <c r="F189" s="64" t="s">
        <v>4</v>
      </c>
      <c r="G189" s="89"/>
      <c r="H189" s="94">
        <v>46126</v>
      </c>
      <c r="K189" s="76"/>
      <c r="L189" s="76"/>
      <c r="M189" s="76"/>
      <c r="N189" s="76"/>
      <c r="O189" s="76"/>
    </row>
    <row r="190" spans="1:15" ht="15.75" x14ac:dyDescent="0.25">
      <c r="A190" s="5" t="s">
        <v>622</v>
      </c>
      <c r="B190" s="4" t="s">
        <v>15</v>
      </c>
      <c r="C190" s="4" t="s">
        <v>15</v>
      </c>
      <c r="D190" s="121">
        <v>270</v>
      </c>
      <c r="E190" s="4" t="s">
        <v>4</v>
      </c>
      <c r="F190" s="64" t="s">
        <v>4</v>
      </c>
      <c r="G190" s="89"/>
      <c r="H190" s="94">
        <v>46126</v>
      </c>
      <c r="K190" s="76"/>
      <c r="L190" s="76"/>
      <c r="M190" s="76"/>
      <c r="N190" s="76"/>
      <c r="O190" s="76"/>
    </row>
    <row r="191" spans="1:15" ht="15.75" x14ac:dyDescent="0.25">
      <c r="A191" s="5" t="s">
        <v>963</v>
      </c>
      <c r="B191" s="4" t="s">
        <v>15</v>
      </c>
      <c r="C191" s="4" t="s">
        <v>15</v>
      </c>
      <c r="D191" s="121">
        <v>533.33299999999997</v>
      </c>
      <c r="E191" s="4" t="s">
        <v>4</v>
      </c>
      <c r="F191" s="64" t="s">
        <v>4</v>
      </c>
      <c r="G191" s="89"/>
      <c r="H191" s="94">
        <v>46126</v>
      </c>
      <c r="K191" s="76"/>
      <c r="L191" s="76"/>
      <c r="M191" s="76"/>
      <c r="N191" s="76"/>
      <c r="O191" s="76"/>
    </row>
    <row r="192" spans="1:15" ht="15.75" x14ac:dyDescent="0.25">
      <c r="A192" s="5" t="s">
        <v>623</v>
      </c>
      <c r="B192" s="4" t="s">
        <v>15</v>
      </c>
      <c r="C192" s="4" t="s">
        <v>15</v>
      </c>
      <c r="D192" s="121">
        <v>1082</v>
      </c>
      <c r="E192" s="4" t="s">
        <v>4</v>
      </c>
      <c r="F192" s="64" t="s">
        <v>4</v>
      </c>
      <c r="G192" s="89"/>
      <c r="H192" s="94">
        <v>46126</v>
      </c>
    </row>
    <row r="193" spans="1:13" ht="15.75" x14ac:dyDescent="0.25">
      <c r="A193" s="5" t="s">
        <v>18</v>
      </c>
      <c r="B193" s="4" t="s">
        <v>148</v>
      </c>
      <c r="C193" s="4" t="s">
        <v>38</v>
      </c>
      <c r="D193" s="13">
        <v>96.59</v>
      </c>
      <c r="E193" s="4" t="s">
        <v>4</v>
      </c>
      <c r="F193" s="64" t="s">
        <v>4</v>
      </c>
      <c r="G193" s="53" t="s">
        <v>92</v>
      </c>
      <c r="H193" s="120">
        <v>46126</v>
      </c>
    </row>
    <row r="194" spans="1:13" ht="15.75" x14ac:dyDescent="0.25">
      <c r="A194" s="5" t="s">
        <v>114</v>
      </c>
      <c r="B194" s="4" t="s">
        <v>148</v>
      </c>
      <c r="C194" s="4" t="s">
        <v>38</v>
      </c>
      <c r="D194" s="121">
        <v>386.32</v>
      </c>
      <c r="E194" s="4" t="s">
        <v>4</v>
      </c>
      <c r="F194" s="64" t="s">
        <v>4</v>
      </c>
      <c r="G194" s="89"/>
      <c r="H194" s="94">
        <v>46127</v>
      </c>
    </row>
    <row r="195" spans="1:13" ht="15.75" x14ac:dyDescent="0.25">
      <c r="A195" s="5" t="s">
        <v>964</v>
      </c>
      <c r="B195" s="4" t="s">
        <v>148</v>
      </c>
      <c r="C195" s="4" t="s">
        <v>38</v>
      </c>
      <c r="D195" s="121">
        <v>200</v>
      </c>
      <c r="E195" s="4" t="s">
        <v>4</v>
      </c>
      <c r="F195" s="64" t="s">
        <v>4</v>
      </c>
      <c r="G195" s="89"/>
      <c r="H195" s="94">
        <v>46127</v>
      </c>
      <c r="J195" s="26"/>
    </row>
    <row r="196" spans="1:13" ht="15.75" x14ac:dyDescent="0.25">
      <c r="A196" s="5" t="s">
        <v>966</v>
      </c>
      <c r="B196" s="4" t="s">
        <v>148</v>
      </c>
      <c r="C196" s="4" t="s">
        <v>38</v>
      </c>
      <c r="D196" s="121">
        <v>100</v>
      </c>
      <c r="E196" s="4" t="s">
        <v>4</v>
      </c>
      <c r="F196" s="64" t="s">
        <v>4</v>
      </c>
      <c r="G196" s="89"/>
      <c r="H196" s="94">
        <v>46127</v>
      </c>
    </row>
    <row r="197" spans="1:13" ht="15.75" x14ac:dyDescent="0.25">
      <c r="A197" s="5" t="s">
        <v>204</v>
      </c>
      <c r="B197" s="4" t="s">
        <v>148</v>
      </c>
      <c r="C197" s="4" t="s">
        <v>38</v>
      </c>
      <c r="D197" s="121">
        <v>3000</v>
      </c>
      <c r="E197" s="4" t="s">
        <v>4</v>
      </c>
      <c r="F197" s="64" t="s">
        <v>4</v>
      </c>
      <c r="G197" s="89"/>
      <c r="H197" s="11">
        <v>46127</v>
      </c>
    </row>
    <row r="198" spans="1:13" ht="15.75" x14ac:dyDescent="0.25">
      <c r="A198" s="5" t="s">
        <v>500</v>
      </c>
      <c r="B198" s="4" t="s">
        <v>967</v>
      </c>
      <c r="C198" s="4" t="s">
        <v>38</v>
      </c>
      <c r="D198" s="121">
        <v>10</v>
      </c>
      <c r="E198" s="4" t="s">
        <v>4</v>
      </c>
      <c r="F198" s="64" t="s">
        <v>4</v>
      </c>
      <c r="G198" s="89"/>
      <c r="H198" s="94">
        <v>46129</v>
      </c>
    </row>
    <row r="199" spans="1:13" ht="15.75" x14ac:dyDescent="0.25">
      <c r="A199" s="5" t="s">
        <v>968</v>
      </c>
      <c r="B199" s="4" t="s">
        <v>148</v>
      </c>
      <c r="C199" s="4" t="s">
        <v>38</v>
      </c>
      <c r="D199" s="121">
        <v>1010</v>
      </c>
      <c r="E199" s="4" t="s">
        <v>4</v>
      </c>
      <c r="F199" s="64" t="s">
        <v>4</v>
      </c>
      <c r="G199" s="89"/>
      <c r="H199" s="94">
        <v>46129</v>
      </c>
    </row>
    <row r="200" spans="1:13" ht="15.75" x14ac:dyDescent="0.25">
      <c r="A200" s="5" t="s">
        <v>323</v>
      </c>
      <c r="B200" s="4" t="s">
        <v>136</v>
      </c>
      <c r="C200" s="4" t="s">
        <v>38</v>
      </c>
      <c r="D200" s="121">
        <v>403.73</v>
      </c>
      <c r="E200" s="4" t="s">
        <v>4</v>
      </c>
      <c r="F200" s="64" t="s">
        <v>4</v>
      </c>
      <c r="G200" s="89"/>
      <c r="H200" s="94">
        <v>46129</v>
      </c>
    </row>
    <row r="201" spans="1:13" ht="15.75" x14ac:dyDescent="0.25">
      <c r="A201" s="5" t="s">
        <v>969</v>
      </c>
      <c r="B201" s="4" t="s">
        <v>148</v>
      </c>
      <c r="C201" s="4" t="s">
        <v>38</v>
      </c>
      <c r="D201" s="121">
        <v>130</v>
      </c>
      <c r="E201" s="4" t="s">
        <v>4</v>
      </c>
      <c r="F201" s="64" t="s">
        <v>4</v>
      </c>
      <c r="G201" s="89"/>
      <c r="H201" s="94">
        <v>46129</v>
      </c>
    </row>
    <row r="202" spans="1:13" ht="15.75" x14ac:dyDescent="0.25">
      <c r="A202" s="5" t="s">
        <v>970</v>
      </c>
      <c r="B202" s="4" t="s">
        <v>148</v>
      </c>
      <c r="C202" s="4" t="s">
        <v>38</v>
      </c>
      <c r="D202" s="121">
        <v>500</v>
      </c>
      <c r="E202" s="4" t="s">
        <v>4</v>
      </c>
      <c r="F202" s="64" t="s">
        <v>4</v>
      </c>
      <c r="G202" s="89"/>
      <c r="H202" s="94">
        <v>46129</v>
      </c>
    </row>
    <row r="203" spans="1:13" ht="15.75" x14ac:dyDescent="0.25">
      <c r="A203" s="5" t="s">
        <v>971</v>
      </c>
      <c r="B203" s="4" t="s">
        <v>15</v>
      </c>
      <c r="C203" s="4" t="s">
        <v>15</v>
      </c>
      <c r="D203" s="121">
        <v>2878.87</v>
      </c>
      <c r="E203" s="4" t="s">
        <v>4</v>
      </c>
      <c r="F203" s="64" t="s">
        <v>4</v>
      </c>
      <c r="G203" s="89"/>
      <c r="H203" s="94">
        <v>46129</v>
      </c>
    </row>
    <row r="204" spans="1:13" ht="15.75" x14ac:dyDescent="0.25">
      <c r="A204" s="5" t="s">
        <v>972</v>
      </c>
      <c r="B204" s="4" t="s">
        <v>15</v>
      </c>
      <c r="C204" s="4" t="s">
        <v>15</v>
      </c>
      <c r="D204" s="121">
        <v>1604.43</v>
      </c>
      <c r="E204" s="4" t="s">
        <v>4</v>
      </c>
      <c r="F204" s="64" t="s">
        <v>4</v>
      </c>
      <c r="G204" s="89"/>
      <c r="H204" s="94">
        <v>46129</v>
      </c>
    </row>
    <row r="205" spans="1:13" ht="15.75" x14ac:dyDescent="0.25">
      <c r="A205" s="5" t="s">
        <v>973</v>
      </c>
      <c r="B205" s="4" t="s">
        <v>148</v>
      </c>
      <c r="C205" s="4" t="s">
        <v>38</v>
      </c>
      <c r="D205" s="121">
        <v>85.82</v>
      </c>
      <c r="E205" s="4" t="s">
        <v>4</v>
      </c>
      <c r="F205" s="64" t="s">
        <v>4</v>
      </c>
      <c r="G205" s="95"/>
      <c r="H205" s="96">
        <v>46129</v>
      </c>
    </row>
    <row r="206" spans="1:13" ht="15.75" x14ac:dyDescent="0.25">
      <c r="A206" s="5" t="s">
        <v>974</v>
      </c>
      <c r="B206" s="4" t="s">
        <v>148</v>
      </c>
      <c r="C206" s="4" t="s">
        <v>38</v>
      </c>
      <c r="D206" s="121">
        <v>60</v>
      </c>
      <c r="E206" s="4" t="s">
        <v>4</v>
      </c>
      <c r="F206" s="64" t="s">
        <v>4</v>
      </c>
      <c r="G206" s="95"/>
      <c r="H206" s="96">
        <v>46129</v>
      </c>
      <c r="M206" s="26"/>
    </row>
    <row r="207" spans="1:13" ht="15.75" x14ac:dyDescent="0.25">
      <c r="A207" s="5" t="s">
        <v>975</v>
      </c>
      <c r="B207" s="4" t="s">
        <v>148</v>
      </c>
      <c r="C207" s="4" t="s">
        <v>38</v>
      </c>
      <c r="D207" s="121">
        <v>1000</v>
      </c>
      <c r="E207" s="4" t="s">
        <v>4</v>
      </c>
      <c r="F207" s="64" t="s">
        <v>4</v>
      </c>
      <c r="G207" s="119"/>
      <c r="H207" s="96">
        <v>46129</v>
      </c>
    </row>
    <row r="208" spans="1:13" ht="15.75" x14ac:dyDescent="0.25">
      <c r="A208" s="5" t="s">
        <v>976</v>
      </c>
      <c r="B208" s="4" t="s">
        <v>15</v>
      </c>
      <c r="C208" s="4" t="s">
        <v>15</v>
      </c>
      <c r="D208" s="33">
        <v>150</v>
      </c>
      <c r="E208" s="4" t="s">
        <v>4</v>
      </c>
      <c r="F208" s="64" t="s">
        <v>4</v>
      </c>
      <c r="G208" s="23"/>
      <c r="H208" s="96">
        <v>46129</v>
      </c>
    </row>
    <row r="209" spans="1:8" ht="15.75" x14ac:dyDescent="0.25">
      <c r="A209" s="5" t="s">
        <v>977</v>
      </c>
      <c r="B209" s="4" t="s">
        <v>15</v>
      </c>
      <c r="C209" s="4" t="s">
        <v>15</v>
      </c>
      <c r="D209" s="33">
        <v>450</v>
      </c>
      <c r="E209" s="4" t="s">
        <v>4</v>
      </c>
      <c r="F209" s="64" t="s">
        <v>4</v>
      </c>
      <c r="G209" s="23"/>
      <c r="H209" s="96">
        <v>46129</v>
      </c>
    </row>
    <row r="210" spans="1:8" ht="15.75" x14ac:dyDescent="0.25">
      <c r="A210" s="5" t="s">
        <v>978</v>
      </c>
      <c r="B210" s="4" t="s">
        <v>15</v>
      </c>
      <c r="C210" s="4" t="s">
        <v>15</v>
      </c>
      <c r="D210" s="33">
        <v>450</v>
      </c>
      <c r="E210" s="4" t="s">
        <v>4</v>
      </c>
      <c r="F210" s="64" t="s">
        <v>4</v>
      </c>
      <c r="G210" s="23"/>
      <c r="H210" s="96">
        <v>46129</v>
      </c>
    </row>
    <row r="211" spans="1:8" ht="15.75" x14ac:dyDescent="0.25">
      <c r="A211" s="5" t="s">
        <v>979</v>
      </c>
      <c r="B211" s="4" t="s">
        <v>15</v>
      </c>
      <c r="C211" s="4" t="s">
        <v>15</v>
      </c>
      <c r="D211" s="33">
        <v>450</v>
      </c>
      <c r="E211" s="4" t="s">
        <v>4</v>
      </c>
      <c r="F211" s="64" t="s">
        <v>4</v>
      </c>
      <c r="G211" s="23"/>
      <c r="H211" s="96">
        <v>46129</v>
      </c>
    </row>
    <row r="212" spans="1:8" ht="15.75" x14ac:dyDescent="0.25">
      <c r="A212" s="5" t="s">
        <v>980</v>
      </c>
      <c r="B212" s="4" t="s">
        <v>15</v>
      </c>
      <c r="C212" s="4" t="s">
        <v>15</v>
      </c>
      <c r="D212" s="33">
        <v>300</v>
      </c>
      <c r="E212" s="4" t="s">
        <v>4</v>
      </c>
      <c r="F212" s="64" t="s">
        <v>4</v>
      </c>
      <c r="G212" s="23"/>
      <c r="H212" s="96">
        <v>46129</v>
      </c>
    </row>
    <row r="213" spans="1:8" ht="15.75" x14ac:dyDescent="0.25">
      <c r="A213" s="5" t="s">
        <v>981</v>
      </c>
      <c r="B213" s="4" t="s">
        <v>15</v>
      </c>
      <c r="C213" s="4" t="s">
        <v>15</v>
      </c>
      <c r="D213" s="33">
        <v>300</v>
      </c>
      <c r="E213" s="4" t="s">
        <v>4</v>
      </c>
      <c r="F213" s="64" t="s">
        <v>4</v>
      </c>
      <c r="G213" s="23"/>
      <c r="H213" s="96">
        <v>46129</v>
      </c>
    </row>
    <row r="214" spans="1:8" ht="15.75" x14ac:dyDescent="0.25">
      <c r="A214" s="5" t="s">
        <v>982</v>
      </c>
      <c r="B214" s="4" t="s">
        <v>15</v>
      </c>
      <c r="C214" s="4" t="s">
        <v>15</v>
      </c>
      <c r="D214" s="33">
        <v>150</v>
      </c>
      <c r="E214" s="4" t="s">
        <v>4</v>
      </c>
      <c r="F214" s="64" t="s">
        <v>4</v>
      </c>
      <c r="G214" s="23"/>
      <c r="H214" s="96">
        <v>46129</v>
      </c>
    </row>
    <row r="215" spans="1:8" ht="15.75" x14ac:dyDescent="0.25">
      <c r="A215" s="5" t="s">
        <v>983</v>
      </c>
      <c r="B215" s="4" t="s">
        <v>15</v>
      </c>
      <c r="C215" s="4" t="s">
        <v>15</v>
      </c>
      <c r="D215" s="33">
        <v>150</v>
      </c>
      <c r="E215" s="4" t="s">
        <v>4</v>
      </c>
      <c r="F215" s="64" t="s">
        <v>4</v>
      </c>
      <c r="G215" s="23"/>
      <c r="H215" s="96">
        <v>46129</v>
      </c>
    </row>
    <row r="216" spans="1:8" ht="15.75" x14ac:dyDescent="0.25">
      <c r="A216" s="5" t="s">
        <v>984</v>
      </c>
      <c r="B216" s="4" t="s">
        <v>15</v>
      </c>
      <c r="C216" s="4" t="s">
        <v>15</v>
      </c>
      <c r="D216" s="33">
        <v>687.61</v>
      </c>
      <c r="E216" s="4" t="s">
        <v>4</v>
      </c>
      <c r="F216" s="64" t="s">
        <v>4</v>
      </c>
      <c r="G216" s="23"/>
      <c r="H216" s="96">
        <v>46129</v>
      </c>
    </row>
    <row r="217" spans="1:8" ht="15.75" x14ac:dyDescent="0.25">
      <c r="A217" s="5" t="s">
        <v>985</v>
      </c>
      <c r="B217" s="4" t="s">
        <v>15</v>
      </c>
      <c r="C217" s="4" t="s">
        <v>15</v>
      </c>
      <c r="D217" s="33">
        <v>500</v>
      </c>
      <c r="E217" s="4" t="s">
        <v>4</v>
      </c>
      <c r="F217" s="64" t="s">
        <v>4</v>
      </c>
      <c r="G217" s="23"/>
      <c r="H217" s="96">
        <v>46129</v>
      </c>
    </row>
    <row r="218" spans="1:8" ht="15.75" x14ac:dyDescent="0.25">
      <c r="A218" s="5" t="s">
        <v>987</v>
      </c>
      <c r="B218" s="4" t="s">
        <v>15</v>
      </c>
      <c r="C218" s="4" t="s">
        <v>15</v>
      </c>
      <c r="D218" s="33">
        <v>245</v>
      </c>
      <c r="E218" s="4" t="s">
        <v>4</v>
      </c>
      <c r="F218" s="64" t="s">
        <v>4</v>
      </c>
      <c r="G218" s="23"/>
      <c r="H218" s="96">
        <v>46129</v>
      </c>
    </row>
    <row r="219" spans="1:8" ht="15.75" x14ac:dyDescent="0.25">
      <c r="A219" s="5" t="s">
        <v>986</v>
      </c>
      <c r="B219" s="4" t="s">
        <v>15</v>
      </c>
      <c r="C219" s="4" t="s">
        <v>15</v>
      </c>
      <c r="D219" s="33">
        <v>140</v>
      </c>
      <c r="E219" s="4" t="s">
        <v>4</v>
      </c>
      <c r="F219" s="64" t="s">
        <v>4</v>
      </c>
      <c r="G219" s="23"/>
      <c r="H219" s="96">
        <v>46129</v>
      </c>
    </row>
    <row r="220" spans="1:8" ht="15.75" x14ac:dyDescent="0.25">
      <c r="A220" s="5" t="s">
        <v>988</v>
      </c>
      <c r="B220" s="4" t="s">
        <v>15</v>
      </c>
      <c r="C220" s="4" t="s">
        <v>15</v>
      </c>
      <c r="D220" s="33">
        <v>104.87</v>
      </c>
      <c r="E220" s="4" t="s">
        <v>4</v>
      </c>
      <c r="F220" s="64" t="s">
        <v>4</v>
      </c>
      <c r="G220" s="23"/>
      <c r="H220" s="96">
        <v>46134</v>
      </c>
    </row>
    <row r="221" spans="1:8" ht="15.75" x14ac:dyDescent="0.25">
      <c r="A221" s="5" t="s">
        <v>989</v>
      </c>
      <c r="B221" s="4" t="s">
        <v>148</v>
      </c>
      <c r="C221" s="4" t="s">
        <v>38</v>
      </c>
      <c r="D221" s="33">
        <v>351.27</v>
      </c>
      <c r="E221" s="4" t="s">
        <v>4</v>
      </c>
      <c r="F221" s="64" t="s">
        <v>4</v>
      </c>
      <c r="G221" s="95"/>
      <c r="H221" s="96">
        <v>46134</v>
      </c>
    </row>
    <row r="222" spans="1:8" ht="15.75" x14ac:dyDescent="0.25">
      <c r="A222" s="5" t="s">
        <v>990</v>
      </c>
      <c r="B222" s="4" t="s">
        <v>148</v>
      </c>
      <c r="C222" s="4" t="s">
        <v>38</v>
      </c>
      <c r="D222" s="33">
        <v>104.87</v>
      </c>
      <c r="E222" s="4" t="s">
        <v>4</v>
      </c>
      <c r="F222" s="64" t="s">
        <v>4</v>
      </c>
      <c r="G222" s="95"/>
      <c r="H222" s="96">
        <v>46134</v>
      </c>
    </row>
    <row r="223" spans="1:8" ht="15.75" x14ac:dyDescent="0.25">
      <c r="A223" s="5" t="s">
        <v>991</v>
      </c>
      <c r="B223" s="4" t="s">
        <v>148</v>
      </c>
      <c r="C223" s="4" t="s">
        <v>38</v>
      </c>
      <c r="D223" s="33">
        <v>104.87</v>
      </c>
      <c r="E223" s="4" t="s">
        <v>4</v>
      </c>
      <c r="F223" s="64" t="s">
        <v>4</v>
      </c>
      <c r="G223" s="23" t="s">
        <v>69</v>
      </c>
      <c r="H223" s="96">
        <v>46134</v>
      </c>
    </row>
    <row r="224" spans="1:8" ht="15.75" x14ac:dyDescent="0.25">
      <c r="A224" s="5" t="s">
        <v>992</v>
      </c>
      <c r="B224" s="4" t="s">
        <v>148</v>
      </c>
      <c r="C224" s="4" t="s">
        <v>38</v>
      </c>
      <c r="D224" s="121">
        <v>104.87</v>
      </c>
      <c r="E224" s="4" t="s">
        <v>4</v>
      </c>
      <c r="F224" s="64" t="s">
        <v>4</v>
      </c>
      <c r="G224" s="23"/>
      <c r="H224" s="96">
        <v>46134</v>
      </c>
    </row>
    <row r="225" spans="1:8" ht="15.75" x14ac:dyDescent="0.25">
      <c r="A225" s="5" t="s">
        <v>993</v>
      </c>
      <c r="B225" s="4" t="s">
        <v>148</v>
      </c>
      <c r="C225" s="4" t="s">
        <v>38</v>
      </c>
      <c r="D225" s="121">
        <v>62.99</v>
      </c>
      <c r="E225" s="4" t="s">
        <v>4</v>
      </c>
      <c r="F225" s="64" t="s">
        <v>4</v>
      </c>
      <c r="G225" s="23"/>
      <c r="H225" s="96">
        <v>46134</v>
      </c>
    </row>
    <row r="226" spans="1:8" ht="15.75" x14ac:dyDescent="0.25">
      <c r="A226" s="5" t="s">
        <v>994</v>
      </c>
      <c r="B226" s="4" t="s">
        <v>15</v>
      </c>
      <c r="C226" s="4" t="s">
        <v>15</v>
      </c>
      <c r="D226" s="121">
        <v>100</v>
      </c>
      <c r="E226" s="4" t="s">
        <v>4</v>
      </c>
      <c r="F226" s="64" t="s">
        <v>4</v>
      </c>
      <c r="G226" s="49"/>
      <c r="H226" s="96">
        <v>46134</v>
      </c>
    </row>
    <row r="227" spans="1:8" ht="15" customHeight="1" x14ac:dyDescent="0.25">
      <c r="A227" s="5" t="s">
        <v>995</v>
      </c>
      <c r="B227" s="4" t="s">
        <v>15</v>
      </c>
      <c r="C227" s="4" t="s">
        <v>15</v>
      </c>
      <c r="D227" s="121">
        <v>833.33</v>
      </c>
      <c r="E227" s="4" t="s">
        <v>4</v>
      </c>
      <c r="F227" s="64" t="s">
        <v>4</v>
      </c>
      <c r="G227" s="23"/>
      <c r="H227" s="11">
        <v>46134</v>
      </c>
    </row>
    <row r="228" spans="1:8" ht="15" customHeight="1" x14ac:dyDescent="0.25">
      <c r="A228" s="5" t="s">
        <v>996</v>
      </c>
      <c r="B228" s="4" t="s">
        <v>15</v>
      </c>
      <c r="C228" s="4" t="s">
        <v>15</v>
      </c>
      <c r="D228" s="121">
        <v>283.33</v>
      </c>
      <c r="E228" s="4" t="s">
        <v>4</v>
      </c>
      <c r="F228" s="64" t="s">
        <v>4</v>
      </c>
      <c r="G228" s="23"/>
      <c r="H228" s="11">
        <v>46134</v>
      </c>
    </row>
    <row r="229" spans="1:8" ht="15" customHeight="1" x14ac:dyDescent="0.25">
      <c r="A229" s="5" t="s">
        <v>997</v>
      </c>
      <c r="B229" s="4" t="s">
        <v>15</v>
      </c>
      <c r="C229" s="4" t="s">
        <v>15</v>
      </c>
      <c r="D229" s="121">
        <v>1371</v>
      </c>
      <c r="E229" s="4" t="s">
        <v>4</v>
      </c>
      <c r="F229" s="64" t="s">
        <v>4</v>
      </c>
      <c r="G229" s="68"/>
      <c r="H229" s="11">
        <v>46134</v>
      </c>
    </row>
    <row r="230" spans="1:8" ht="15" customHeight="1" x14ac:dyDescent="0.25">
      <c r="A230" s="5" t="s">
        <v>998</v>
      </c>
      <c r="B230" s="4" t="s">
        <v>15</v>
      </c>
      <c r="C230" s="4" t="s">
        <v>15</v>
      </c>
      <c r="D230" s="121">
        <v>1250</v>
      </c>
      <c r="E230" s="4" t="s">
        <v>4</v>
      </c>
      <c r="F230" s="64" t="s">
        <v>4</v>
      </c>
      <c r="G230" s="84"/>
      <c r="H230" s="11">
        <v>46134</v>
      </c>
    </row>
    <row r="231" spans="1:8" ht="15" customHeight="1" x14ac:dyDescent="0.25">
      <c r="A231" s="5" t="s">
        <v>999</v>
      </c>
      <c r="B231" s="4" t="s">
        <v>15</v>
      </c>
      <c r="C231" s="4" t="s">
        <v>15</v>
      </c>
      <c r="D231" s="12">
        <v>116.67</v>
      </c>
      <c r="E231" s="4" t="s">
        <v>4</v>
      </c>
      <c r="F231" s="64" t="s">
        <v>4</v>
      </c>
      <c r="G231" s="79"/>
      <c r="H231" s="11">
        <v>46134</v>
      </c>
    </row>
    <row r="232" spans="1:8" ht="15" customHeight="1" x14ac:dyDescent="0.25">
      <c r="A232" s="5" t="s">
        <v>1000</v>
      </c>
      <c r="B232" s="4" t="s">
        <v>967</v>
      </c>
      <c r="C232" s="4" t="s">
        <v>38</v>
      </c>
      <c r="D232" s="12">
        <v>35</v>
      </c>
      <c r="E232" s="4" t="s">
        <v>4</v>
      </c>
      <c r="F232" s="64" t="s">
        <v>4</v>
      </c>
      <c r="G232" s="23"/>
      <c r="H232" s="11">
        <v>46134</v>
      </c>
    </row>
    <row r="233" spans="1:8" ht="15" customHeight="1" x14ac:dyDescent="0.25">
      <c r="A233" s="5" t="s">
        <v>1001</v>
      </c>
      <c r="B233" s="4" t="s">
        <v>148</v>
      </c>
      <c r="C233" s="4" t="s">
        <v>38</v>
      </c>
      <c r="D233" s="12">
        <v>120</v>
      </c>
      <c r="E233" s="4" t="s">
        <v>4</v>
      </c>
      <c r="F233" s="64" t="s">
        <v>4</v>
      </c>
      <c r="G233" s="23"/>
      <c r="H233" s="11">
        <v>46134</v>
      </c>
    </row>
    <row r="234" spans="1:8" ht="15" customHeight="1" x14ac:dyDescent="0.25">
      <c r="A234" s="5" t="s">
        <v>1002</v>
      </c>
      <c r="B234" s="4" t="s">
        <v>148</v>
      </c>
      <c r="C234" s="4" t="s">
        <v>38</v>
      </c>
      <c r="D234" s="12">
        <v>35</v>
      </c>
      <c r="E234" s="4" t="s">
        <v>4</v>
      </c>
      <c r="F234" s="64" t="s">
        <v>4</v>
      </c>
      <c r="G234" s="23"/>
      <c r="H234" s="11">
        <v>46134</v>
      </c>
    </row>
    <row r="235" spans="1:8" ht="15" customHeight="1" x14ac:dyDescent="0.25">
      <c r="A235" s="5" t="s">
        <v>1003</v>
      </c>
      <c r="B235" s="4" t="s">
        <v>148</v>
      </c>
      <c r="C235" s="4" t="s">
        <v>38</v>
      </c>
      <c r="D235" s="12">
        <v>200</v>
      </c>
      <c r="E235" s="4" t="s">
        <v>4</v>
      </c>
      <c r="F235" s="64" t="s">
        <v>4</v>
      </c>
      <c r="G235" s="23"/>
      <c r="H235" s="11">
        <v>46134</v>
      </c>
    </row>
    <row r="236" spans="1:8" ht="15" customHeight="1" x14ac:dyDescent="0.25">
      <c r="A236" s="5" t="s">
        <v>1004</v>
      </c>
      <c r="B236" s="4" t="s">
        <v>148</v>
      </c>
      <c r="C236" s="4" t="s">
        <v>38</v>
      </c>
      <c r="D236" s="12">
        <v>100</v>
      </c>
      <c r="E236" s="4" t="s">
        <v>4</v>
      </c>
      <c r="F236" s="64" t="s">
        <v>4</v>
      </c>
      <c r="G236" s="23"/>
      <c r="H236" s="11">
        <v>46134</v>
      </c>
    </row>
    <row r="237" spans="1:8" ht="15" customHeight="1" x14ac:dyDescent="0.25">
      <c r="A237" s="5" t="s">
        <v>1008</v>
      </c>
      <c r="B237" s="4" t="s">
        <v>148</v>
      </c>
      <c r="C237" s="4" t="s">
        <v>38</v>
      </c>
      <c r="D237" s="121">
        <v>1518</v>
      </c>
      <c r="E237" s="4" t="s">
        <v>4</v>
      </c>
      <c r="F237" s="64" t="s">
        <v>4</v>
      </c>
      <c r="G237" s="119"/>
      <c r="H237" s="11">
        <v>46136</v>
      </c>
    </row>
    <row r="238" spans="1:8" ht="15" customHeight="1" x14ac:dyDescent="0.25">
      <c r="A238" s="5" t="s">
        <v>970</v>
      </c>
      <c r="B238" s="4" t="s">
        <v>148</v>
      </c>
      <c r="C238" s="4" t="s">
        <v>38</v>
      </c>
      <c r="D238" s="121">
        <v>500</v>
      </c>
      <c r="E238" s="4" t="s">
        <v>4</v>
      </c>
      <c r="F238" s="64" t="s">
        <v>4</v>
      </c>
      <c r="G238" s="119"/>
      <c r="H238" s="11">
        <v>46136</v>
      </c>
    </row>
    <row r="239" spans="1:8" ht="15" customHeight="1" x14ac:dyDescent="0.25">
      <c r="A239" s="5" t="s">
        <v>1009</v>
      </c>
      <c r="B239" s="4" t="s">
        <v>148</v>
      </c>
      <c r="C239" s="4" t="s">
        <v>38</v>
      </c>
      <c r="D239" s="121">
        <v>46.25</v>
      </c>
      <c r="E239" s="4" t="s">
        <v>4</v>
      </c>
      <c r="F239" s="64" t="s">
        <v>4</v>
      </c>
      <c r="G239" s="119"/>
      <c r="H239" s="11">
        <v>46136</v>
      </c>
    </row>
    <row r="240" spans="1:8" ht="15" customHeight="1" x14ac:dyDescent="0.25">
      <c r="A240" s="5" t="s">
        <v>1010</v>
      </c>
      <c r="B240" s="4" t="s">
        <v>148</v>
      </c>
      <c r="C240" s="4" t="s">
        <v>38</v>
      </c>
      <c r="D240" s="121">
        <v>325.01</v>
      </c>
      <c r="E240" s="4" t="s">
        <v>4</v>
      </c>
      <c r="F240" s="64" t="s">
        <v>4</v>
      </c>
      <c r="G240" s="119"/>
      <c r="H240" s="11">
        <v>46136</v>
      </c>
    </row>
    <row r="241" spans="1:13" ht="15" customHeight="1" x14ac:dyDescent="0.25">
      <c r="A241" s="5" t="s">
        <v>1011</v>
      </c>
      <c r="B241" s="4" t="s">
        <v>148</v>
      </c>
      <c r="C241" s="4" t="s">
        <v>38</v>
      </c>
      <c r="D241" s="121">
        <v>39</v>
      </c>
      <c r="E241" s="4" t="s">
        <v>4</v>
      </c>
      <c r="F241" s="64" t="s">
        <v>4</v>
      </c>
      <c r="G241" s="119"/>
      <c r="H241" s="11">
        <v>46136</v>
      </c>
    </row>
    <row r="242" spans="1:13" ht="15" customHeight="1" x14ac:dyDescent="0.25">
      <c r="A242" s="5" t="s">
        <v>1012</v>
      </c>
      <c r="B242" s="4" t="s">
        <v>15</v>
      </c>
      <c r="C242" s="4" t="s">
        <v>15</v>
      </c>
      <c r="D242" s="121">
        <v>150</v>
      </c>
      <c r="E242" s="4" t="s">
        <v>4</v>
      </c>
      <c r="F242" s="64" t="s">
        <v>4</v>
      </c>
      <c r="G242" s="119"/>
      <c r="H242" s="11">
        <v>46136</v>
      </c>
    </row>
    <row r="243" spans="1:13" ht="15.75" x14ac:dyDescent="0.25">
      <c r="A243" s="5" t="s">
        <v>1013</v>
      </c>
      <c r="B243" s="4" t="s">
        <v>15</v>
      </c>
      <c r="C243" s="4" t="s">
        <v>15</v>
      </c>
      <c r="D243" s="121">
        <v>200</v>
      </c>
      <c r="E243" s="4" t="s">
        <v>4</v>
      </c>
      <c r="F243" s="64" t="s">
        <v>4</v>
      </c>
      <c r="G243" s="119"/>
      <c r="H243" s="11">
        <v>46136</v>
      </c>
      <c r="M243" s="26"/>
    </row>
    <row r="244" spans="1:13" ht="15.75" x14ac:dyDescent="0.25">
      <c r="A244" s="5" t="s">
        <v>1014</v>
      </c>
      <c r="B244" s="4" t="s">
        <v>15</v>
      </c>
      <c r="C244" s="4" t="s">
        <v>15</v>
      </c>
      <c r="D244" s="121">
        <v>550</v>
      </c>
      <c r="E244" s="4" t="s">
        <v>4</v>
      </c>
      <c r="F244" s="64" t="s">
        <v>4</v>
      </c>
      <c r="G244" s="23"/>
      <c r="H244" s="11">
        <v>46136</v>
      </c>
    </row>
    <row r="245" spans="1:13" ht="15.75" x14ac:dyDescent="0.25">
      <c r="A245" s="5" t="s">
        <v>1015</v>
      </c>
      <c r="B245" s="4" t="s">
        <v>15</v>
      </c>
      <c r="C245" s="4" t="s">
        <v>15</v>
      </c>
      <c r="D245" s="121">
        <v>300</v>
      </c>
      <c r="E245" s="4" t="s">
        <v>4</v>
      </c>
      <c r="F245" s="64" t="s">
        <v>4</v>
      </c>
      <c r="G245" s="23"/>
      <c r="H245" s="11">
        <v>46136</v>
      </c>
      <c r="M245" s="26"/>
    </row>
    <row r="246" spans="1:13" ht="15.75" x14ac:dyDescent="0.25">
      <c r="A246" s="5" t="s">
        <v>1016</v>
      </c>
      <c r="B246" s="4" t="s">
        <v>15</v>
      </c>
      <c r="C246" s="4" t="s">
        <v>15</v>
      </c>
      <c r="D246" s="12">
        <v>150</v>
      </c>
      <c r="E246" s="4" t="s">
        <v>4</v>
      </c>
      <c r="F246" s="64" t="s">
        <v>4</v>
      </c>
      <c r="G246" s="23"/>
      <c r="H246" s="11">
        <v>46136</v>
      </c>
      <c r="M246" s="26"/>
    </row>
    <row r="247" spans="1:13" ht="15.75" x14ac:dyDescent="0.25">
      <c r="A247" s="5" t="s">
        <v>1017</v>
      </c>
      <c r="B247" s="4" t="s">
        <v>15</v>
      </c>
      <c r="C247" s="4" t="s">
        <v>15</v>
      </c>
      <c r="D247" s="12">
        <v>500</v>
      </c>
      <c r="E247" s="4" t="s">
        <v>4</v>
      </c>
      <c r="F247" s="64" t="s">
        <v>4</v>
      </c>
      <c r="G247" s="23"/>
      <c r="H247" s="11">
        <v>46136</v>
      </c>
      <c r="M247" s="26"/>
    </row>
    <row r="248" spans="1:13" ht="15.75" x14ac:dyDescent="0.25">
      <c r="A248" s="5" t="s">
        <v>1016</v>
      </c>
      <c r="B248" s="4" t="s">
        <v>15</v>
      </c>
      <c r="C248" s="4" t="s">
        <v>15</v>
      </c>
      <c r="D248" s="12">
        <v>200</v>
      </c>
      <c r="E248" s="4" t="s">
        <v>4</v>
      </c>
      <c r="F248" s="64" t="s">
        <v>4</v>
      </c>
      <c r="G248" s="23"/>
      <c r="H248" s="11">
        <v>46136</v>
      </c>
      <c r="M248" s="26"/>
    </row>
    <row r="249" spans="1:13" ht="15.75" x14ac:dyDescent="0.25">
      <c r="A249" s="5" t="s">
        <v>1018</v>
      </c>
      <c r="B249" s="4" t="s">
        <v>15</v>
      </c>
      <c r="C249" s="4" t="s">
        <v>15</v>
      </c>
      <c r="D249" s="121">
        <v>550</v>
      </c>
      <c r="E249" s="4" t="s">
        <v>4</v>
      </c>
      <c r="F249" s="64" t="s">
        <v>4</v>
      </c>
      <c r="G249" s="23"/>
      <c r="H249" s="11">
        <v>46136</v>
      </c>
      <c r="M249" s="26"/>
    </row>
    <row r="250" spans="1:13" ht="15.75" x14ac:dyDescent="0.25">
      <c r="A250" s="5" t="s">
        <v>1019</v>
      </c>
      <c r="B250" s="4" t="s">
        <v>15</v>
      </c>
      <c r="C250" s="4" t="s">
        <v>15</v>
      </c>
      <c r="D250" s="12">
        <v>50</v>
      </c>
      <c r="E250" s="4" t="s">
        <v>4</v>
      </c>
      <c r="F250" s="64" t="s">
        <v>4</v>
      </c>
      <c r="G250" s="23"/>
      <c r="H250" s="11">
        <v>46136</v>
      </c>
      <c r="M250" s="26"/>
    </row>
    <row r="251" spans="1:13" ht="15.75" x14ac:dyDescent="0.25">
      <c r="A251" s="5" t="s">
        <v>1020</v>
      </c>
      <c r="B251" s="4" t="s">
        <v>15</v>
      </c>
      <c r="C251" s="4" t="s">
        <v>15</v>
      </c>
      <c r="D251" s="12">
        <v>650</v>
      </c>
      <c r="E251" s="4" t="s">
        <v>4</v>
      </c>
      <c r="F251" s="64" t="s">
        <v>4</v>
      </c>
      <c r="G251" s="23"/>
      <c r="H251" s="11">
        <v>46136</v>
      </c>
      <c r="M251" s="26"/>
    </row>
    <row r="252" spans="1:13" ht="15.75" x14ac:dyDescent="0.25">
      <c r="A252" s="5" t="s">
        <v>1021</v>
      </c>
      <c r="B252" s="4"/>
      <c r="C252" s="4"/>
      <c r="D252" s="14">
        <v>-4.1100000000000003</v>
      </c>
      <c r="E252" s="4"/>
      <c r="F252" s="64" t="s">
        <v>4</v>
      </c>
      <c r="G252" s="23"/>
      <c r="H252" s="11">
        <v>46136</v>
      </c>
      <c r="M252" s="26"/>
    </row>
    <row r="253" spans="1:13" ht="15.75" x14ac:dyDescent="0.25">
      <c r="A253" s="5" t="s">
        <v>1022</v>
      </c>
      <c r="B253" s="4" t="s">
        <v>15</v>
      </c>
      <c r="C253" s="4" t="s">
        <v>15</v>
      </c>
      <c r="D253" s="12">
        <v>140</v>
      </c>
      <c r="E253" s="4" t="s">
        <v>4</v>
      </c>
      <c r="F253" s="64" t="s">
        <v>4</v>
      </c>
      <c r="G253" s="23"/>
      <c r="H253" s="11">
        <v>46136</v>
      </c>
      <c r="M253" s="26"/>
    </row>
    <row r="254" spans="1:13" ht="15.75" x14ac:dyDescent="0.25">
      <c r="A254" s="5" t="s">
        <v>1024</v>
      </c>
      <c r="B254" s="4" t="s">
        <v>148</v>
      </c>
      <c r="C254" s="4" t="s">
        <v>38</v>
      </c>
      <c r="D254" s="12">
        <v>47.28</v>
      </c>
      <c r="E254" s="4" t="s">
        <v>4</v>
      </c>
      <c r="F254" s="64" t="s">
        <v>4</v>
      </c>
      <c r="G254" s="23"/>
      <c r="H254" s="11">
        <v>46139</v>
      </c>
      <c r="M254" s="26"/>
    </row>
    <row r="255" spans="1:13" ht="15.75" x14ac:dyDescent="0.25">
      <c r="A255" s="5" t="s">
        <v>1025</v>
      </c>
      <c r="B255" s="4" t="s">
        <v>148</v>
      </c>
      <c r="C255" s="4" t="s">
        <v>38</v>
      </c>
      <c r="D255" s="12">
        <v>20</v>
      </c>
      <c r="E255" s="4" t="s">
        <v>4</v>
      </c>
      <c r="F255" s="64" t="s">
        <v>4</v>
      </c>
      <c r="G255" s="23"/>
      <c r="H255" s="11">
        <v>46139</v>
      </c>
      <c r="M255" s="26"/>
    </row>
    <row r="256" spans="1:13" ht="15.75" x14ac:dyDescent="0.25">
      <c r="A256" s="5" t="s">
        <v>1027</v>
      </c>
      <c r="B256" s="4" t="s">
        <v>148</v>
      </c>
      <c r="C256" s="4" t="s">
        <v>38</v>
      </c>
      <c r="D256" s="12">
        <v>130</v>
      </c>
      <c r="E256" s="4" t="s">
        <v>4</v>
      </c>
      <c r="F256" s="64" t="s">
        <v>4</v>
      </c>
      <c r="G256" s="23"/>
      <c r="H256" s="11">
        <v>46139</v>
      </c>
      <c r="M256" s="26"/>
    </row>
    <row r="257" spans="1:12" ht="15.75" x14ac:dyDescent="0.25">
      <c r="A257" s="5" t="s">
        <v>1028</v>
      </c>
      <c r="B257" s="4" t="s">
        <v>148</v>
      </c>
      <c r="C257" s="4" t="s">
        <v>38</v>
      </c>
      <c r="D257" s="12">
        <v>35</v>
      </c>
      <c r="E257" s="4" t="s">
        <v>4</v>
      </c>
      <c r="F257" s="64" t="s">
        <v>4</v>
      </c>
      <c r="G257" s="23"/>
      <c r="H257" s="11">
        <v>46139</v>
      </c>
    </row>
    <row r="258" spans="1:12" ht="15.75" x14ac:dyDescent="0.25">
      <c r="A258" s="5" t="s">
        <v>1004</v>
      </c>
      <c r="B258" s="4" t="s">
        <v>148</v>
      </c>
      <c r="C258" s="4" t="s">
        <v>38</v>
      </c>
      <c r="D258" s="12">
        <v>100</v>
      </c>
      <c r="E258" s="4" t="s">
        <v>4</v>
      </c>
      <c r="F258" s="64" t="s">
        <v>4</v>
      </c>
      <c r="G258" s="23"/>
      <c r="H258" s="11">
        <v>46139</v>
      </c>
    </row>
    <row r="259" spans="1:12" ht="15.75" x14ac:dyDescent="0.25">
      <c r="A259" s="5" t="s">
        <v>1029</v>
      </c>
      <c r="B259" s="4" t="s">
        <v>148</v>
      </c>
      <c r="C259" s="4" t="s">
        <v>38</v>
      </c>
      <c r="D259" s="33">
        <v>120</v>
      </c>
      <c r="E259" s="4" t="s">
        <v>4</v>
      </c>
      <c r="F259" s="64" t="s">
        <v>4</v>
      </c>
      <c r="G259" s="23"/>
      <c r="H259" s="11">
        <v>46139</v>
      </c>
    </row>
    <row r="260" spans="1:12" ht="15.75" x14ac:dyDescent="0.25">
      <c r="A260" s="5" t="s">
        <v>959</v>
      </c>
      <c r="B260" s="4" t="s">
        <v>148</v>
      </c>
      <c r="C260" s="4" t="s">
        <v>38</v>
      </c>
      <c r="D260" s="33">
        <v>150</v>
      </c>
      <c r="E260" s="4" t="s">
        <v>4</v>
      </c>
      <c r="F260" s="64" t="s">
        <v>4</v>
      </c>
      <c r="G260" s="23"/>
      <c r="H260" s="11">
        <v>46139</v>
      </c>
    </row>
    <row r="261" spans="1:12" ht="15.75" x14ac:dyDescent="0.25">
      <c r="A261" s="5" t="s">
        <v>1030</v>
      </c>
      <c r="B261" s="4" t="s">
        <v>148</v>
      </c>
      <c r="C261" s="4" t="s">
        <v>38</v>
      </c>
      <c r="D261" s="121">
        <v>80</v>
      </c>
      <c r="E261" s="4" t="s">
        <v>4</v>
      </c>
      <c r="F261" s="64" t="s">
        <v>4</v>
      </c>
      <c r="G261" s="119"/>
      <c r="H261" s="11">
        <v>46139</v>
      </c>
    </row>
    <row r="262" spans="1:12" ht="15.75" x14ac:dyDescent="0.25">
      <c r="A262" s="5" t="s">
        <v>1032</v>
      </c>
      <c r="B262" s="4" t="s">
        <v>148</v>
      </c>
      <c r="C262" s="4" t="s">
        <v>38</v>
      </c>
      <c r="D262" s="33">
        <v>100</v>
      </c>
      <c r="E262" s="4" t="s">
        <v>4</v>
      </c>
      <c r="F262" s="64" t="s">
        <v>4</v>
      </c>
      <c r="G262" s="23" t="s">
        <v>69</v>
      </c>
      <c r="H262" s="11">
        <v>46140</v>
      </c>
    </row>
    <row r="263" spans="1:12" ht="15.75" x14ac:dyDescent="0.25">
      <c r="A263" s="5" t="s">
        <v>1026</v>
      </c>
      <c r="B263" s="4" t="s">
        <v>148</v>
      </c>
      <c r="C263" s="4" t="s">
        <v>38</v>
      </c>
      <c r="D263" s="12">
        <v>1621</v>
      </c>
      <c r="E263" s="4" t="s">
        <v>4</v>
      </c>
      <c r="F263" s="64" t="s">
        <v>4</v>
      </c>
      <c r="G263" s="23" t="s">
        <v>69</v>
      </c>
      <c r="H263" s="11">
        <v>46140</v>
      </c>
    </row>
    <row r="264" spans="1:12" ht="15.75" x14ac:dyDescent="0.25">
      <c r="A264" s="5" t="s">
        <v>1021</v>
      </c>
      <c r="B264" s="117"/>
      <c r="C264" s="117"/>
      <c r="D264" s="123">
        <v>-3</v>
      </c>
      <c r="E264" s="4" t="s">
        <v>4</v>
      </c>
      <c r="F264" s="64" t="s">
        <v>4</v>
      </c>
      <c r="G264" s="119"/>
      <c r="H264" s="120">
        <v>46140</v>
      </c>
    </row>
    <row r="265" spans="1:12" ht="15.75" x14ac:dyDescent="0.25">
      <c r="A265" s="5" t="s">
        <v>1031</v>
      </c>
      <c r="B265" s="4" t="s">
        <v>148</v>
      </c>
      <c r="C265" s="4" t="s">
        <v>39</v>
      </c>
      <c r="D265" s="33">
        <f>35*4</f>
        <v>140</v>
      </c>
      <c r="E265" s="4" t="s">
        <v>4</v>
      </c>
      <c r="F265" s="64" t="s">
        <v>4</v>
      </c>
      <c r="G265" s="23" t="s">
        <v>69</v>
      </c>
      <c r="H265" s="11">
        <v>46140</v>
      </c>
    </row>
    <row r="266" spans="1:12" ht="15.75" x14ac:dyDescent="0.25">
      <c r="A266" s="5" t="s">
        <v>996</v>
      </c>
      <c r="B266" s="4" t="s">
        <v>15</v>
      </c>
      <c r="C266" s="4" t="s">
        <v>15</v>
      </c>
      <c r="D266" s="33">
        <v>250</v>
      </c>
      <c r="E266" s="4" t="s">
        <v>4</v>
      </c>
      <c r="F266" s="64" t="s">
        <v>4</v>
      </c>
      <c r="G266" s="23" t="s">
        <v>69</v>
      </c>
      <c r="H266" s="11">
        <v>46140</v>
      </c>
    </row>
    <row r="267" spans="1:12" ht="15.75" x14ac:dyDescent="0.25">
      <c r="A267" s="5" t="s">
        <v>1033</v>
      </c>
      <c r="B267" s="4" t="s">
        <v>15</v>
      </c>
      <c r="C267" s="4" t="s">
        <v>15</v>
      </c>
      <c r="D267" s="12">
        <v>3000</v>
      </c>
      <c r="E267" s="4" t="s">
        <v>4</v>
      </c>
      <c r="F267" s="64" t="s">
        <v>4</v>
      </c>
      <c r="G267" s="53" t="s">
        <v>69</v>
      </c>
      <c r="H267" s="11">
        <v>46141</v>
      </c>
    </row>
    <row r="268" spans="1:12" ht="15.75" x14ac:dyDescent="0.25">
      <c r="A268" s="5" t="s">
        <v>1034</v>
      </c>
      <c r="B268" s="4" t="s">
        <v>148</v>
      </c>
      <c r="C268" s="4" t="s">
        <v>38</v>
      </c>
      <c r="D268" s="121">
        <v>175</v>
      </c>
      <c r="E268" s="4" t="s">
        <v>4</v>
      </c>
      <c r="F268" s="64" t="s">
        <v>4</v>
      </c>
      <c r="G268" s="23" t="s">
        <v>69</v>
      </c>
      <c r="H268" s="11">
        <v>46141</v>
      </c>
    </row>
    <row r="269" spans="1:12" ht="15.75" x14ac:dyDescent="0.25">
      <c r="A269" s="5" t="s">
        <v>1035</v>
      </c>
      <c r="B269" s="4" t="s">
        <v>148</v>
      </c>
      <c r="C269" s="4" t="s">
        <v>38</v>
      </c>
      <c r="D269" s="12">
        <v>35</v>
      </c>
      <c r="E269" s="4" t="s">
        <v>4</v>
      </c>
      <c r="F269" s="64" t="s">
        <v>4</v>
      </c>
      <c r="G269" s="23" t="s">
        <v>69</v>
      </c>
      <c r="H269" s="11">
        <v>46141</v>
      </c>
    </row>
    <row r="270" spans="1:12" ht="15.75" x14ac:dyDescent="0.25">
      <c r="A270" s="5" t="s">
        <v>1037</v>
      </c>
      <c r="B270" s="4" t="s">
        <v>148</v>
      </c>
      <c r="C270" s="4" t="s">
        <v>38</v>
      </c>
      <c r="D270" s="12">
        <v>844.55</v>
      </c>
      <c r="E270" s="4" t="s">
        <v>4</v>
      </c>
      <c r="F270" s="64" t="s">
        <v>4</v>
      </c>
      <c r="G270" s="23"/>
      <c r="H270" s="11">
        <v>46142</v>
      </c>
    </row>
    <row r="271" spans="1:12" ht="15.75" x14ac:dyDescent="0.25">
      <c r="A271" s="5" t="s">
        <v>1038</v>
      </c>
      <c r="B271" s="4" t="s">
        <v>15</v>
      </c>
      <c r="C271" s="4" t="s">
        <v>15</v>
      </c>
      <c r="D271" s="12">
        <v>3796.55</v>
      </c>
      <c r="E271" s="4" t="s">
        <v>4</v>
      </c>
      <c r="F271" s="64" t="s">
        <v>4</v>
      </c>
      <c r="G271" s="23"/>
      <c r="H271" s="11">
        <v>46142</v>
      </c>
      <c r="L271" s="31"/>
    </row>
    <row r="272" spans="1:12" ht="15.75" x14ac:dyDescent="0.25">
      <c r="A272" s="5" t="s">
        <v>1039</v>
      </c>
      <c r="B272" s="4" t="s">
        <v>15</v>
      </c>
      <c r="C272" s="4" t="s">
        <v>15</v>
      </c>
      <c r="D272" s="12">
        <v>105864.73</v>
      </c>
      <c r="E272" s="4" t="s">
        <v>4</v>
      </c>
      <c r="F272" s="64" t="s">
        <v>4</v>
      </c>
      <c r="G272" s="23"/>
      <c r="H272" s="11">
        <v>46142</v>
      </c>
      <c r="L272" s="32"/>
    </row>
    <row r="273" spans="1:12" ht="15.75" x14ac:dyDescent="0.25">
      <c r="A273" s="5" t="s">
        <v>1003</v>
      </c>
      <c r="B273" s="4" t="s">
        <v>148</v>
      </c>
      <c r="C273" s="4" t="s">
        <v>38</v>
      </c>
      <c r="D273" s="121">
        <v>200</v>
      </c>
      <c r="E273" s="4" t="s">
        <v>4</v>
      </c>
      <c r="F273" s="64" t="s">
        <v>4</v>
      </c>
      <c r="G273" s="119"/>
      <c r="H273" s="120">
        <v>46142</v>
      </c>
      <c r="L273" s="32"/>
    </row>
    <row r="274" spans="1:12" ht="15.75" x14ac:dyDescent="0.25">
      <c r="A274" s="5" t="s">
        <v>1040</v>
      </c>
      <c r="B274" s="4" t="s">
        <v>15</v>
      </c>
      <c r="C274" s="4" t="s">
        <v>15</v>
      </c>
      <c r="D274" s="12">
        <f>4*150</f>
        <v>600</v>
      </c>
      <c r="E274" s="4" t="s">
        <v>4</v>
      </c>
      <c r="F274" s="64" t="s">
        <v>4</v>
      </c>
      <c r="G274" s="23"/>
      <c r="H274" s="11">
        <v>46142</v>
      </c>
    </row>
    <row r="275" spans="1:12" ht="15.75" x14ac:dyDescent="0.25">
      <c r="A275" s="5" t="s">
        <v>1041</v>
      </c>
      <c r="B275" s="4" t="s">
        <v>15</v>
      </c>
      <c r="C275" s="4" t="s">
        <v>15</v>
      </c>
      <c r="D275" s="12">
        <f>2*150</f>
        <v>300</v>
      </c>
      <c r="E275" s="4" t="s">
        <v>4</v>
      </c>
      <c r="F275" s="64" t="s">
        <v>4</v>
      </c>
      <c r="G275" s="23"/>
      <c r="H275" s="11">
        <v>46142</v>
      </c>
    </row>
    <row r="276" spans="1:12" ht="15.75" x14ac:dyDescent="0.25">
      <c r="A276" s="5" t="s">
        <v>1042</v>
      </c>
      <c r="B276" s="4" t="s">
        <v>15</v>
      </c>
      <c r="C276" s="4" t="s">
        <v>15</v>
      </c>
      <c r="D276" s="33">
        <v>250</v>
      </c>
      <c r="E276" s="4" t="s">
        <v>4</v>
      </c>
      <c r="F276" s="64" t="s">
        <v>4</v>
      </c>
      <c r="G276" s="23" t="s">
        <v>69</v>
      </c>
      <c r="H276" s="11">
        <v>46142</v>
      </c>
    </row>
    <row r="277" spans="1:12" ht="15.75" x14ac:dyDescent="0.25">
      <c r="A277" s="5" t="s">
        <v>1043</v>
      </c>
      <c r="B277" s="4" t="s">
        <v>15</v>
      </c>
      <c r="C277" s="4" t="s">
        <v>15</v>
      </c>
      <c r="D277" s="33">
        <v>300</v>
      </c>
      <c r="E277" s="4" t="s">
        <v>4</v>
      </c>
      <c r="F277" s="64" t="s">
        <v>4</v>
      </c>
      <c r="G277" s="23"/>
      <c r="H277" s="11">
        <v>46142</v>
      </c>
    </row>
    <row r="278" spans="1:12" ht="15.75" x14ac:dyDescent="0.25">
      <c r="A278" s="5" t="s">
        <v>1044</v>
      </c>
      <c r="B278" s="4" t="s">
        <v>15</v>
      </c>
      <c r="C278" s="4" t="s">
        <v>15</v>
      </c>
      <c r="D278" s="33">
        <v>200</v>
      </c>
      <c r="E278" s="4" t="s">
        <v>4</v>
      </c>
      <c r="F278" s="64" t="s">
        <v>4</v>
      </c>
      <c r="G278" s="53" t="s">
        <v>69</v>
      </c>
      <c r="H278" s="11">
        <v>46142</v>
      </c>
    </row>
    <row r="279" spans="1:12" ht="15.75" x14ac:dyDescent="0.25">
      <c r="A279" s="5" t="s">
        <v>1045</v>
      </c>
      <c r="B279" s="4" t="s">
        <v>15</v>
      </c>
      <c r="C279" s="4" t="s">
        <v>15</v>
      </c>
      <c r="D279" s="33">
        <f>4*150+50</f>
        <v>650</v>
      </c>
      <c r="E279" s="4" t="s">
        <v>4</v>
      </c>
      <c r="F279" s="64" t="s">
        <v>4</v>
      </c>
      <c r="G279" s="53"/>
      <c r="H279" s="11">
        <v>46142</v>
      </c>
    </row>
    <row r="280" spans="1:12" ht="15.75" x14ac:dyDescent="0.25">
      <c r="A280" s="5" t="s">
        <v>1046</v>
      </c>
      <c r="B280" s="4" t="s">
        <v>15</v>
      </c>
      <c r="C280" s="4" t="s">
        <v>15</v>
      </c>
      <c r="D280" s="33">
        <v>800</v>
      </c>
      <c r="E280" s="4" t="s">
        <v>4</v>
      </c>
      <c r="F280" s="64" t="s">
        <v>4</v>
      </c>
      <c r="G280" s="53"/>
      <c r="H280" s="11">
        <v>46142</v>
      </c>
    </row>
    <row r="281" spans="1:12" ht="15.75" x14ac:dyDescent="0.25">
      <c r="A281" s="5" t="s">
        <v>1047</v>
      </c>
      <c r="B281" s="4" t="s">
        <v>15</v>
      </c>
      <c r="C281" s="4" t="s">
        <v>15</v>
      </c>
      <c r="D281" s="33">
        <v>300</v>
      </c>
      <c r="E281" s="4" t="s">
        <v>4</v>
      </c>
      <c r="F281" s="64" t="s">
        <v>4</v>
      </c>
      <c r="G281" s="23"/>
      <c r="H281" s="11">
        <v>46142</v>
      </c>
    </row>
    <row r="282" spans="1:12" ht="15.75" x14ac:dyDescent="0.25">
      <c r="A282" s="5" t="s">
        <v>1059</v>
      </c>
      <c r="B282" s="4" t="s">
        <v>15</v>
      </c>
      <c r="C282" s="4" t="s">
        <v>15</v>
      </c>
      <c r="D282" s="33">
        <v>50</v>
      </c>
      <c r="E282" s="4" t="s">
        <v>4</v>
      </c>
      <c r="F282" s="64" t="s">
        <v>4</v>
      </c>
      <c r="G282" s="23"/>
      <c r="H282" s="11">
        <v>46142</v>
      </c>
    </row>
    <row r="283" spans="1:12" ht="15.75" x14ac:dyDescent="0.25">
      <c r="A283" s="5" t="s">
        <v>1048</v>
      </c>
      <c r="B283" s="4" t="s">
        <v>15</v>
      </c>
      <c r="C283" s="4" t="s">
        <v>15</v>
      </c>
      <c r="D283" s="12">
        <v>450</v>
      </c>
      <c r="E283" s="4" t="s">
        <v>4</v>
      </c>
      <c r="F283" s="64" t="s">
        <v>4</v>
      </c>
      <c r="G283" s="53" t="s">
        <v>69</v>
      </c>
      <c r="H283" s="11">
        <v>46142</v>
      </c>
    </row>
    <row r="284" spans="1:12" ht="15.75" x14ac:dyDescent="0.25">
      <c r="A284" s="5" t="s">
        <v>1049</v>
      </c>
      <c r="B284" s="4" t="s">
        <v>15</v>
      </c>
      <c r="C284" s="4" t="s">
        <v>15</v>
      </c>
      <c r="D284" s="33">
        <v>100</v>
      </c>
      <c r="E284" s="4" t="s">
        <v>4</v>
      </c>
      <c r="F284" s="64" t="s">
        <v>4</v>
      </c>
      <c r="G284" s="23"/>
      <c r="H284" s="11">
        <v>46142</v>
      </c>
    </row>
    <row r="285" spans="1:12" ht="15.75" x14ac:dyDescent="0.25">
      <c r="A285" s="5" t="s">
        <v>1050</v>
      </c>
      <c r="B285" s="4" t="s">
        <v>15</v>
      </c>
      <c r="C285" s="4" t="s">
        <v>15</v>
      </c>
      <c r="D285" s="33">
        <v>50</v>
      </c>
      <c r="E285" s="4" t="s">
        <v>4</v>
      </c>
      <c r="F285" s="64" t="s">
        <v>4</v>
      </c>
      <c r="G285" s="23"/>
      <c r="H285" s="11">
        <v>46142</v>
      </c>
    </row>
    <row r="286" spans="1:12" ht="15.75" x14ac:dyDescent="0.25">
      <c r="A286" s="5" t="s">
        <v>1051</v>
      </c>
      <c r="B286" s="4" t="s">
        <v>15</v>
      </c>
      <c r="C286" s="4" t="s">
        <v>15</v>
      </c>
      <c r="D286" s="33">
        <v>50</v>
      </c>
      <c r="E286" s="4" t="s">
        <v>4</v>
      </c>
      <c r="F286" s="64" t="s">
        <v>4</v>
      </c>
      <c r="G286" s="23"/>
      <c r="H286" s="11">
        <v>46142</v>
      </c>
      <c r="K286" s="26"/>
    </row>
    <row r="287" spans="1:12" ht="15.75" x14ac:dyDescent="0.25">
      <c r="A287" s="5" t="s">
        <v>1053</v>
      </c>
      <c r="B287" s="4" t="s">
        <v>15</v>
      </c>
      <c r="C287" s="4" t="s">
        <v>15</v>
      </c>
      <c r="D287" s="102">
        <f>203/2</f>
        <v>101.5</v>
      </c>
      <c r="E287" s="4" t="s">
        <v>4</v>
      </c>
      <c r="F287" s="64" t="s">
        <v>4</v>
      </c>
      <c r="G287" s="100"/>
      <c r="H287" s="101">
        <v>46142</v>
      </c>
    </row>
    <row r="288" spans="1:12" ht="15.75" x14ac:dyDescent="0.25">
      <c r="A288" s="5" t="s">
        <v>1052</v>
      </c>
      <c r="B288" s="4" t="s">
        <v>15</v>
      </c>
      <c r="C288" s="4" t="s">
        <v>15</v>
      </c>
      <c r="D288" s="43">
        <v>101.5</v>
      </c>
      <c r="E288" s="4" t="s">
        <v>4</v>
      </c>
      <c r="F288" s="64" t="s">
        <v>4</v>
      </c>
      <c r="G288" s="53"/>
      <c r="H288" s="11">
        <v>46142</v>
      </c>
    </row>
    <row r="289" spans="1:8" ht="15.75" x14ac:dyDescent="0.25">
      <c r="A289" s="5" t="s">
        <v>1054</v>
      </c>
      <c r="B289" s="4" t="s">
        <v>15</v>
      </c>
      <c r="C289" s="4" t="s">
        <v>15</v>
      </c>
      <c r="D289" s="43">
        <f>4*50/2</f>
        <v>100</v>
      </c>
      <c r="E289" s="4" t="s">
        <v>4</v>
      </c>
      <c r="F289" s="64" t="s">
        <v>4</v>
      </c>
      <c r="G289" s="53"/>
      <c r="H289" s="11">
        <v>46142</v>
      </c>
    </row>
    <row r="290" spans="1:8" ht="15.75" x14ac:dyDescent="0.25">
      <c r="A290" s="5" t="s">
        <v>1055</v>
      </c>
      <c r="B290" s="4" t="s">
        <v>15</v>
      </c>
      <c r="C290" s="4" t="s">
        <v>15</v>
      </c>
      <c r="D290" s="43">
        <v>100</v>
      </c>
      <c r="E290" s="4" t="s">
        <v>4</v>
      </c>
      <c r="F290" s="64" t="s">
        <v>4</v>
      </c>
      <c r="G290" s="53"/>
      <c r="H290" s="11">
        <v>46142</v>
      </c>
    </row>
    <row r="291" spans="1:8" ht="15.75" x14ac:dyDescent="0.25">
      <c r="A291" s="5" t="s">
        <v>1056</v>
      </c>
      <c r="B291" s="4" t="s">
        <v>15</v>
      </c>
      <c r="C291" s="4" t="s">
        <v>15</v>
      </c>
      <c r="D291" s="66">
        <v>150</v>
      </c>
      <c r="E291" s="4" t="s">
        <v>4</v>
      </c>
      <c r="F291" s="64" t="s">
        <v>4</v>
      </c>
      <c r="G291" s="53"/>
      <c r="H291" s="11">
        <v>46142</v>
      </c>
    </row>
    <row r="292" spans="1:8" ht="15.75" x14ac:dyDescent="0.25">
      <c r="A292" s="5" t="s">
        <v>1057</v>
      </c>
      <c r="B292" s="4" t="s">
        <v>15</v>
      </c>
      <c r="C292" s="4" t="s">
        <v>15</v>
      </c>
      <c r="D292" s="33">
        <v>190</v>
      </c>
      <c r="E292" s="4" t="s">
        <v>4</v>
      </c>
      <c r="F292" s="64" t="s">
        <v>4</v>
      </c>
      <c r="G292" s="53"/>
      <c r="H292" s="11">
        <v>46142</v>
      </c>
    </row>
    <row r="293" spans="1:8" ht="15.75" x14ac:dyDescent="0.25">
      <c r="A293" s="5" t="s">
        <v>1058</v>
      </c>
      <c r="B293" s="4" t="s">
        <v>148</v>
      </c>
      <c r="C293" s="4" t="s">
        <v>39</v>
      </c>
      <c r="D293" s="86">
        <f>35*7</f>
        <v>245</v>
      </c>
      <c r="E293" s="4" t="s">
        <v>4</v>
      </c>
      <c r="F293" s="64" t="s">
        <v>4</v>
      </c>
      <c r="G293" s="53"/>
      <c r="H293" s="11">
        <v>46142</v>
      </c>
    </row>
    <row r="294" spans="1:8" ht="15.75" x14ac:dyDescent="0.25">
      <c r="A294" s="5"/>
      <c r="B294" s="4"/>
      <c r="C294" s="4"/>
      <c r="D294" s="41"/>
      <c r="E294" s="4"/>
      <c r="F294" s="64"/>
      <c r="G294" s="53"/>
      <c r="H294" s="11"/>
    </row>
    <row r="295" spans="1:8" ht="15.75" x14ac:dyDescent="0.25">
      <c r="A295" s="5" t="s">
        <v>69</v>
      </c>
      <c r="B295" s="4" t="s">
        <v>946</v>
      </c>
      <c r="C295" s="4" t="s">
        <v>69</v>
      </c>
      <c r="D295" s="33" t="s">
        <v>69</v>
      </c>
      <c r="E295" s="4"/>
      <c r="F295" s="64"/>
      <c r="G295" s="53" t="s">
        <v>69</v>
      </c>
      <c r="H295" s="11"/>
    </row>
    <row r="296" spans="1:8" ht="15.75" x14ac:dyDescent="0.25">
      <c r="H296" s="11"/>
    </row>
    <row r="297" spans="1:8" ht="15.75" x14ac:dyDescent="0.25">
      <c r="A297" s="5"/>
      <c r="B297" s="4"/>
      <c r="C297" s="4"/>
      <c r="D297" s="33"/>
      <c r="E297" s="4"/>
      <c r="F297" s="64"/>
      <c r="G297" s="23"/>
      <c r="H297" s="11"/>
    </row>
    <row r="298" spans="1:8" ht="15.75" x14ac:dyDescent="0.25">
      <c r="A298" s="5"/>
      <c r="B298" s="4"/>
      <c r="C298" s="4"/>
      <c r="D298" s="33"/>
      <c r="E298" s="4"/>
      <c r="F298" s="64"/>
      <c r="G298" s="23"/>
      <c r="H298" s="11"/>
    </row>
    <row r="299" spans="1:8" ht="15.75" x14ac:dyDescent="0.25">
      <c r="A299" s="5"/>
      <c r="B299" s="4"/>
      <c r="C299" s="4"/>
      <c r="D299" s="33"/>
      <c r="E299" s="4"/>
      <c r="F299" s="64"/>
      <c r="G299" s="23"/>
      <c r="H299" s="11"/>
    </row>
    <row r="300" spans="1:8" ht="15.75" x14ac:dyDescent="0.25">
      <c r="A300" s="5"/>
      <c r="B300" s="4"/>
      <c r="C300" s="4"/>
      <c r="D300" s="99"/>
      <c r="E300" s="4"/>
      <c r="F300" s="64"/>
      <c r="G300" s="100"/>
      <c r="H300" s="11"/>
    </row>
    <row r="301" spans="1:8" ht="15.75" x14ac:dyDescent="0.25">
      <c r="A301" s="5"/>
      <c r="B301" s="4"/>
      <c r="C301" s="4"/>
      <c r="D301" s="33"/>
      <c r="E301" s="4"/>
      <c r="F301" s="64"/>
      <c r="G301" s="53"/>
      <c r="H301" s="11"/>
    </row>
    <row r="302" spans="1:8" ht="15.75" x14ac:dyDescent="0.25">
      <c r="A302" s="5" t="s">
        <v>69</v>
      </c>
      <c r="B302" s="4" t="s">
        <v>69</v>
      </c>
      <c r="C302" s="4" t="s">
        <v>69</v>
      </c>
      <c r="D302" s="12" t="s">
        <v>69</v>
      </c>
      <c r="E302" s="4"/>
      <c r="F302" s="64"/>
      <c r="G302" s="53" t="s">
        <v>69</v>
      </c>
      <c r="H302" s="11"/>
    </row>
    <row r="303" spans="1:8" ht="15.75" x14ac:dyDescent="0.25">
      <c r="A303" s="5" t="s">
        <v>69</v>
      </c>
      <c r="B303" s="4" t="s">
        <v>69</v>
      </c>
      <c r="C303" s="4" t="s">
        <v>69</v>
      </c>
      <c r="D303" s="12" t="s">
        <v>69</v>
      </c>
      <c r="E303" s="4"/>
      <c r="F303" s="64"/>
      <c r="G303" s="53" t="s">
        <v>69</v>
      </c>
      <c r="H303" s="11"/>
    </row>
    <row r="304" spans="1:8" ht="15.75" x14ac:dyDescent="0.25">
      <c r="A304" s="5" t="s">
        <v>69</v>
      </c>
      <c r="B304" s="4" t="s">
        <v>69</v>
      </c>
      <c r="C304" s="4" t="s">
        <v>69</v>
      </c>
      <c r="D304" s="12" t="s">
        <v>69</v>
      </c>
      <c r="E304" s="4"/>
      <c r="F304" s="64"/>
      <c r="G304" s="104"/>
      <c r="H304" s="85"/>
    </row>
    <row r="305" spans="1:12" ht="15.75" x14ac:dyDescent="0.25">
      <c r="A305" s="5" t="s">
        <v>69</v>
      </c>
      <c r="B305" s="4" t="s">
        <v>69</v>
      </c>
      <c r="C305" s="4" t="s">
        <v>69</v>
      </c>
      <c r="D305" s="12" t="s">
        <v>69</v>
      </c>
      <c r="E305" s="4"/>
      <c r="F305" s="64"/>
      <c r="G305" s="84"/>
      <c r="H305" s="85"/>
    </row>
    <row r="306" spans="1:12" ht="15.75" x14ac:dyDescent="0.25">
      <c r="A306" s="5" t="s">
        <v>79</v>
      </c>
      <c r="B306" s="4" t="s">
        <v>84</v>
      </c>
      <c r="C306" s="4" t="s">
        <v>84</v>
      </c>
      <c r="D306" s="12" t="s">
        <v>69</v>
      </c>
      <c r="E306" s="4"/>
      <c r="F306" s="64"/>
      <c r="G306" s="53" t="s">
        <v>96</v>
      </c>
      <c r="H306" s="85"/>
    </row>
    <row r="307" spans="1:12" ht="15.75" x14ac:dyDescent="0.25">
      <c r="A307" s="5" t="s">
        <v>80</v>
      </c>
      <c r="B307" s="4" t="s">
        <v>84</v>
      </c>
      <c r="C307" s="4" t="s">
        <v>84</v>
      </c>
      <c r="D307" s="13">
        <v>3793.08</v>
      </c>
      <c r="E307" s="4"/>
      <c r="F307" s="64"/>
      <c r="G307" s="53" t="s">
        <v>96</v>
      </c>
      <c r="H307" s="85"/>
    </row>
    <row r="308" spans="1:12" ht="15.75" x14ac:dyDescent="0.25">
      <c r="A308" s="5" t="s">
        <v>69</v>
      </c>
      <c r="B308" s="4" t="s">
        <v>69</v>
      </c>
      <c r="C308" s="4" t="s">
        <v>69</v>
      </c>
      <c r="D308" s="12" t="s">
        <v>69</v>
      </c>
      <c r="E308" s="4"/>
      <c r="F308" s="64"/>
      <c r="G308" s="119"/>
      <c r="H308" s="120"/>
    </row>
    <row r="309" spans="1:12" ht="16.149999999999999" customHeight="1" x14ac:dyDescent="0.25">
      <c r="A309" s="5"/>
      <c r="B309" s="4"/>
      <c r="C309" s="4"/>
      <c r="D309" s="33"/>
      <c r="E309" s="4"/>
      <c r="F309" s="64"/>
      <c r="G309" s="84"/>
      <c r="H309" s="85"/>
    </row>
    <row r="310" spans="1:12" ht="15.75" x14ac:dyDescent="0.25">
      <c r="A310" t="s">
        <v>69</v>
      </c>
      <c r="D310" s="125">
        <v>0</v>
      </c>
      <c r="F310" s="64" t="s">
        <v>69</v>
      </c>
      <c r="G310" t="s">
        <v>69</v>
      </c>
    </row>
    <row r="311" spans="1:12" ht="15.75" x14ac:dyDescent="0.25">
      <c r="A311" s="6" t="s">
        <v>5</v>
      </c>
      <c r="B311" s="4"/>
      <c r="C311" s="4"/>
      <c r="D311" s="12">
        <f>SUBTOTAL(9,D1:D310)</f>
        <v>373383.03299999988</v>
      </c>
      <c r="E311" s="4"/>
      <c r="F311" s="64" t="s">
        <v>115</v>
      </c>
      <c r="G311" s="23"/>
      <c r="H311" s="3"/>
    </row>
    <row r="312" spans="1:12" ht="15.75" x14ac:dyDescent="0.25">
      <c r="A312" s="5" t="s">
        <v>40</v>
      </c>
      <c r="B312" s="6" t="s">
        <v>154</v>
      </c>
      <c r="C312" s="6"/>
      <c r="D312" s="16"/>
      <c r="E312" s="4"/>
      <c r="F312" s="64" t="s">
        <v>115</v>
      </c>
      <c r="G312" s="23"/>
      <c r="H312" s="3"/>
    </row>
    <row r="313" spans="1:12" x14ac:dyDescent="0.25">
      <c r="C313" s="16"/>
    </row>
    <row r="314" spans="1:12" ht="21" x14ac:dyDescent="0.35">
      <c r="A314" s="127" t="s">
        <v>160</v>
      </c>
      <c r="B314" s="127"/>
      <c r="C314" s="127"/>
      <c r="D314" s="127"/>
      <c r="E314" s="127"/>
      <c r="F314" s="127"/>
      <c r="G314" s="127"/>
      <c r="H314" s="127"/>
      <c r="L314" s="47" t="s">
        <v>1</v>
      </c>
    </row>
    <row r="315" spans="1:12" ht="15.75" x14ac:dyDescent="0.25">
      <c r="A315" s="5" t="s">
        <v>78</v>
      </c>
      <c r="B315" s="4" t="s">
        <v>147</v>
      </c>
      <c r="C315" s="4" t="s">
        <v>121</v>
      </c>
      <c r="D315" s="17" t="s">
        <v>6</v>
      </c>
      <c r="E315" s="4" t="s">
        <v>3</v>
      </c>
      <c r="F315" s="4" t="s">
        <v>10</v>
      </c>
      <c r="G315" s="24" t="s">
        <v>13</v>
      </c>
      <c r="H315" s="9" t="s">
        <v>14</v>
      </c>
    </row>
    <row r="316" spans="1:12" ht="15.75" x14ac:dyDescent="0.25">
      <c r="A316" s="5" t="s">
        <v>12</v>
      </c>
      <c r="B316" s="4" t="s">
        <v>15</v>
      </c>
      <c r="C316" s="4" t="s">
        <v>15</v>
      </c>
      <c r="D316" s="12">
        <v>16572.349999999999</v>
      </c>
      <c r="E316" s="4" t="s">
        <v>4</v>
      </c>
      <c r="F316" s="4" t="s">
        <v>4</v>
      </c>
      <c r="G316" s="53" t="s">
        <v>104</v>
      </c>
      <c r="H316" s="11">
        <v>46113</v>
      </c>
    </row>
    <row r="317" spans="1:12" ht="15.75" x14ac:dyDescent="0.25">
      <c r="A317" s="5" t="s">
        <v>112</v>
      </c>
      <c r="B317" s="4" t="s">
        <v>148</v>
      </c>
      <c r="C317" s="4" t="s">
        <v>38</v>
      </c>
      <c r="D317" s="13">
        <v>81.400000000000006</v>
      </c>
      <c r="E317" s="4"/>
      <c r="F317" s="4" t="s">
        <v>4</v>
      </c>
      <c r="G317" s="53" t="s">
        <v>92</v>
      </c>
      <c r="H317" s="9">
        <v>46132</v>
      </c>
    </row>
    <row r="318" spans="1:12" ht="15.75" x14ac:dyDescent="0.25">
      <c r="A318" s="5" t="s">
        <v>189</v>
      </c>
      <c r="B318" s="4" t="s">
        <v>148</v>
      </c>
      <c r="C318" s="4" t="s">
        <v>38</v>
      </c>
      <c r="D318" s="13">
        <v>955.56</v>
      </c>
      <c r="E318" s="4"/>
      <c r="F318" s="4"/>
      <c r="G318" s="53" t="s">
        <v>101</v>
      </c>
      <c r="H318" s="9"/>
    </row>
    <row r="319" spans="1:12" ht="15.75" x14ac:dyDescent="0.25">
      <c r="A319" s="5" t="s">
        <v>1005</v>
      </c>
      <c r="B319" s="4" t="s">
        <v>84</v>
      </c>
      <c r="C319" s="4" t="s">
        <v>84</v>
      </c>
      <c r="D319" s="12">
        <v>12292.95</v>
      </c>
      <c r="E319" s="4" t="s">
        <v>4</v>
      </c>
      <c r="F319" s="4" t="s">
        <v>4</v>
      </c>
      <c r="G319" s="53" t="s">
        <v>96</v>
      </c>
      <c r="H319" s="9">
        <v>46132</v>
      </c>
    </row>
    <row r="320" spans="1:12" ht="15.75" x14ac:dyDescent="0.25">
      <c r="A320" s="5" t="s">
        <v>1006</v>
      </c>
      <c r="B320" s="4" t="s">
        <v>84</v>
      </c>
      <c r="C320" s="4" t="s">
        <v>84</v>
      </c>
      <c r="D320" s="38">
        <v>11774.89</v>
      </c>
      <c r="E320" s="4" t="s">
        <v>4</v>
      </c>
      <c r="F320" s="4" t="s">
        <v>4</v>
      </c>
      <c r="G320" s="53" t="s">
        <v>96</v>
      </c>
      <c r="H320" s="9">
        <v>46132</v>
      </c>
    </row>
    <row r="321" spans="1:8" ht="15.75" x14ac:dyDescent="0.25">
      <c r="A321" s="5" t="s">
        <v>1007</v>
      </c>
      <c r="B321" s="4" t="s">
        <v>84</v>
      </c>
      <c r="C321" s="4" t="s">
        <v>84</v>
      </c>
      <c r="D321" s="56">
        <v>27182.33</v>
      </c>
      <c r="E321" s="4" t="s">
        <v>4</v>
      </c>
      <c r="F321" s="4" t="s">
        <v>4</v>
      </c>
      <c r="G321" s="53" t="s">
        <v>96</v>
      </c>
      <c r="H321" s="9">
        <v>46132</v>
      </c>
    </row>
    <row r="322" spans="1:8" ht="15.75" x14ac:dyDescent="0.25">
      <c r="A322" s="5" t="s">
        <v>27</v>
      </c>
      <c r="B322" s="4" t="s">
        <v>148</v>
      </c>
      <c r="C322" s="4" t="s">
        <v>38</v>
      </c>
      <c r="D322" s="12">
        <v>44.27</v>
      </c>
      <c r="E322" s="4"/>
      <c r="F322" s="4" t="s">
        <v>4</v>
      </c>
      <c r="G322" s="53" t="s">
        <v>1036</v>
      </c>
      <c r="H322" s="9">
        <v>46142</v>
      </c>
    </row>
    <row r="323" spans="1:8" ht="15.75" x14ac:dyDescent="0.25">
      <c r="A323" s="5" t="s">
        <v>1023</v>
      </c>
      <c r="B323" s="4" t="s">
        <v>141</v>
      </c>
      <c r="C323" s="4" t="s">
        <v>39</v>
      </c>
      <c r="D323" s="12">
        <v>1460</v>
      </c>
      <c r="E323" s="4" t="s">
        <v>4</v>
      </c>
      <c r="F323" s="4" t="s">
        <v>4</v>
      </c>
      <c r="G323" s="53" t="s">
        <v>852</v>
      </c>
      <c r="H323" s="9"/>
    </row>
    <row r="324" spans="1:8" ht="15.75" x14ac:dyDescent="0.25">
      <c r="A324" s="5" t="s">
        <v>784</v>
      </c>
      <c r="B324" s="4" t="s">
        <v>148</v>
      </c>
      <c r="C324" s="4" t="s">
        <v>38</v>
      </c>
      <c r="D324" s="86">
        <v>97.65</v>
      </c>
      <c r="E324" s="4"/>
      <c r="F324" s="4"/>
      <c r="G324" s="112"/>
      <c r="H324" s="113"/>
    </row>
    <row r="325" spans="1:8" ht="15.75" x14ac:dyDescent="0.25">
      <c r="A325" s="5" t="s">
        <v>785</v>
      </c>
      <c r="B325" s="4" t="s">
        <v>148</v>
      </c>
      <c r="C325" s="4" t="s">
        <v>38</v>
      </c>
      <c r="D325" s="86">
        <v>128.30000000000001</v>
      </c>
      <c r="E325" s="4"/>
      <c r="F325" s="4"/>
      <c r="G325" s="112"/>
      <c r="H325" s="113"/>
    </row>
    <row r="326" spans="1:8" ht="15.75" x14ac:dyDescent="0.25">
      <c r="A326" s="5" t="s">
        <v>12</v>
      </c>
      <c r="B326" s="83"/>
      <c r="C326" s="83"/>
      <c r="D326" s="86">
        <v>17353.810000000001</v>
      </c>
      <c r="E326" s="83"/>
      <c r="F326" s="64" t="s">
        <v>4</v>
      </c>
      <c r="G326" s="84"/>
      <c r="H326" s="11" t="s">
        <v>1060</v>
      </c>
    </row>
    <row r="327" spans="1:8" ht="15.75" x14ac:dyDescent="0.25">
      <c r="A327" s="51"/>
      <c r="B327" s="48"/>
      <c r="C327" s="4"/>
      <c r="D327" s="52"/>
      <c r="E327" s="48"/>
      <c r="F327" s="4" t="s">
        <v>115</v>
      </c>
      <c r="G327" s="49"/>
      <c r="H327" s="50"/>
    </row>
    <row r="328" spans="1:8" ht="15.75" x14ac:dyDescent="0.25">
      <c r="A328" s="4" t="s">
        <v>11</v>
      </c>
      <c r="B328" s="27"/>
      <c r="C328" s="4" t="s">
        <v>0</v>
      </c>
      <c r="D328" s="12">
        <f>SUBTOTAL(9,D315:D326)</f>
        <v>87943.510000000009</v>
      </c>
      <c r="E328" s="4"/>
      <c r="F328" s="4" t="s">
        <v>115</v>
      </c>
      <c r="G328" s="24"/>
      <c r="H328" s="11"/>
    </row>
    <row r="329" spans="1:8" ht="15.75" x14ac:dyDescent="0.25">
      <c r="A329" s="5" t="s">
        <v>117</v>
      </c>
      <c r="B329" s="5"/>
      <c r="C329" s="5"/>
      <c r="D329" s="16"/>
      <c r="E329" s="4"/>
      <c r="F329" s="4" t="s">
        <v>115</v>
      </c>
      <c r="G329" s="24"/>
      <c r="H329" s="11"/>
    </row>
    <row r="330" spans="1:8" ht="15.75" x14ac:dyDescent="0.25">
      <c r="A330" s="5"/>
      <c r="B330" s="5"/>
      <c r="C330" s="5"/>
      <c r="D330" s="16"/>
      <c r="E330" s="4"/>
      <c r="F330" s="4"/>
      <c r="G330" s="24"/>
      <c r="H330" s="11"/>
    </row>
    <row r="331" spans="1:8" ht="21" x14ac:dyDescent="0.35">
      <c r="A331" s="127" t="s">
        <v>155</v>
      </c>
      <c r="B331" s="127"/>
      <c r="C331" s="127"/>
      <c r="D331" s="127"/>
      <c r="E331" s="127"/>
      <c r="F331" s="127"/>
      <c r="G331" s="128"/>
    </row>
    <row r="332" spans="1:8" ht="15.75" x14ac:dyDescent="0.25">
      <c r="A332" s="5" t="s">
        <v>7</v>
      </c>
      <c r="B332" s="4" t="s">
        <v>37</v>
      </c>
      <c r="C332" s="17" t="s">
        <v>6</v>
      </c>
      <c r="D332" s="4" t="s">
        <v>3</v>
      </c>
      <c r="E332" s="4" t="s">
        <v>9</v>
      </c>
      <c r="F332" s="108" t="s">
        <v>13</v>
      </c>
      <c r="G332" s="9" t="s">
        <v>14</v>
      </c>
    </row>
    <row r="333" spans="1:8" ht="15.75" x14ac:dyDescent="0.25">
      <c r="A333" s="5" t="s">
        <v>876</v>
      </c>
      <c r="B333" s="4" t="s">
        <v>120</v>
      </c>
      <c r="C333" s="12">
        <v>46100</v>
      </c>
      <c r="D333" s="4" t="s">
        <v>4</v>
      </c>
      <c r="E333" s="4" t="s">
        <v>4</v>
      </c>
      <c r="F333" s="23"/>
      <c r="G333" s="11">
        <v>46118</v>
      </c>
    </row>
    <row r="334" spans="1:8" ht="15.75" x14ac:dyDescent="0.25">
      <c r="A334" s="5" t="s">
        <v>195</v>
      </c>
      <c r="B334" s="4" t="s">
        <v>188</v>
      </c>
      <c r="C334" s="12">
        <v>51.15</v>
      </c>
      <c r="D334" s="4" t="s">
        <v>4</v>
      </c>
      <c r="E334" s="4" t="s">
        <v>4</v>
      </c>
      <c r="F334" s="23"/>
      <c r="G334" s="11">
        <v>46121</v>
      </c>
    </row>
    <row r="335" spans="1:8" ht="15.75" x14ac:dyDescent="0.25">
      <c r="A335" s="5" t="s">
        <v>917</v>
      </c>
      <c r="B335" s="4" t="s">
        <v>120</v>
      </c>
      <c r="C335" s="12">
        <v>8500</v>
      </c>
      <c r="D335" s="4" t="s">
        <v>4</v>
      </c>
      <c r="E335" s="4" t="s">
        <v>4</v>
      </c>
      <c r="F335" s="23"/>
      <c r="G335" s="11">
        <v>46121</v>
      </c>
    </row>
    <row r="336" spans="1:8" ht="15.75" x14ac:dyDescent="0.25">
      <c r="A336" s="5" t="s">
        <v>195</v>
      </c>
      <c r="B336" s="4" t="s">
        <v>188</v>
      </c>
      <c r="C336" s="12">
        <v>53.79</v>
      </c>
      <c r="D336" s="4" t="s">
        <v>4</v>
      </c>
      <c r="E336" s="4" t="s">
        <v>4</v>
      </c>
      <c r="F336" s="23"/>
      <c r="G336" s="11">
        <v>46121</v>
      </c>
    </row>
    <row r="337" spans="1:7" ht="15.75" x14ac:dyDescent="0.25">
      <c r="A337" s="5" t="s">
        <v>918</v>
      </c>
      <c r="B337" s="4" t="s">
        <v>120</v>
      </c>
      <c r="C337" s="12">
        <v>10400</v>
      </c>
      <c r="D337" s="4" t="s">
        <v>4</v>
      </c>
      <c r="E337" s="4" t="s">
        <v>4</v>
      </c>
      <c r="F337" s="23"/>
      <c r="G337" s="11">
        <v>46121</v>
      </c>
    </row>
    <row r="338" spans="1:7" ht="15.75" x14ac:dyDescent="0.25">
      <c r="A338" s="5" t="s">
        <v>195</v>
      </c>
      <c r="B338" s="4" t="s">
        <v>188</v>
      </c>
      <c r="C338" s="12">
        <f>22.87*3</f>
        <v>68.61</v>
      </c>
      <c r="D338" s="4" t="s">
        <v>4</v>
      </c>
      <c r="E338" s="4" t="s">
        <v>4</v>
      </c>
      <c r="F338" s="23"/>
      <c r="G338" s="11">
        <v>46121</v>
      </c>
    </row>
    <row r="339" spans="1:7" ht="15.75" x14ac:dyDescent="0.25">
      <c r="A339" s="5" t="s">
        <v>965</v>
      </c>
      <c r="B339" s="4" t="s">
        <v>120</v>
      </c>
      <c r="C339" s="12">
        <v>3850</v>
      </c>
      <c r="D339" s="4" t="s">
        <v>4</v>
      </c>
      <c r="E339" s="4" t="s">
        <v>4</v>
      </c>
      <c r="F339" s="23"/>
      <c r="G339" s="11">
        <v>46127</v>
      </c>
    </row>
    <row r="340" spans="1:7" ht="15.75" x14ac:dyDescent="0.25">
      <c r="A340" s="5" t="s">
        <v>195</v>
      </c>
      <c r="B340" s="4" t="s">
        <v>188</v>
      </c>
      <c r="C340" s="12">
        <v>85</v>
      </c>
      <c r="D340" s="4" t="s">
        <v>4</v>
      </c>
      <c r="E340" s="4" t="s">
        <v>4</v>
      </c>
      <c r="F340" s="23"/>
      <c r="G340" s="11">
        <v>46127</v>
      </c>
    </row>
    <row r="341" spans="1:7" ht="15.75" x14ac:dyDescent="0.25">
      <c r="A341" s="5" t="s">
        <v>859</v>
      </c>
      <c r="B341" s="4" t="s">
        <v>120</v>
      </c>
      <c r="C341" s="12">
        <v>0</v>
      </c>
      <c r="D341" s="4" t="s">
        <v>69</v>
      </c>
      <c r="E341" s="4" t="s">
        <v>69</v>
      </c>
      <c r="F341" s="23"/>
      <c r="G341" s="11"/>
    </row>
    <row r="342" spans="1:7" ht="15.75" x14ac:dyDescent="0.25">
      <c r="A342" s="5" t="s">
        <v>195</v>
      </c>
      <c r="B342" s="4" t="s">
        <v>188</v>
      </c>
      <c r="C342" s="12">
        <v>0</v>
      </c>
      <c r="D342" s="4" t="s">
        <v>69</v>
      </c>
      <c r="E342" s="4" t="s">
        <v>69</v>
      </c>
      <c r="F342" s="23"/>
      <c r="G342" s="11"/>
    </row>
    <row r="343" spans="1:7" ht="15.75" x14ac:dyDescent="0.25">
      <c r="A343" s="5" t="s">
        <v>194</v>
      </c>
      <c r="B343" s="4" t="s">
        <v>120</v>
      </c>
      <c r="C343" s="12">
        <v>0</v>
      </c>
      <c r="D343" s="4" t="s">
        <v>69</v>
      </c>
      <c r="E343" s="4" t="s">
        <v>69</v>
      </c>
      <c r="F343" s="23"/>
      <c r="G343" s="11"/>
    </row>
    <row r="344" spans="1:7" ht="15.75" x14ac:dyDescent="0.25">
      <c r="A344" s="5" t="s">
        <v>195</v>
      </c>
      <c r="B344" s="4" t="s">
        <v>188</v>
      </c>
      <c r="C344" s="12">
        <v>0</v>
      </c>
      <c r="D344" s="4" t="s">
        <v>69</v>
      </c>
      <c r="E344" s="4" t="s">
        <v>69</v>
      </c>
      <c r="F344" s="23"/>
      <c r="G344" s="11"/>
    </row>
    <row r="345" spans="1:7" ht="15.75" x14ac:dyDescent="0.25">
      <c r="A345" s="5" t="s">
        <v>194</v>
      </c>
      <c r="B345" s="4" t="s">
        <v>120</v>
      </c>
      <c r="C345" s="12">
        <v>0</v>
      </c>
      <c r="D345" s="4" t="s">
        <v>69</v>
      </c>
      <c r="E345" s="4" t="s">
        <v>69</v>
      </c>
      <c r="F345" s="23"/>
      <c r="G345" s="11"/>
    </row>
    <row r="346" spans="1:7" ht="15.75" x14ac:dyDescent="0.25">
      <c r="A346" s="5" t="s">
        <v>195</v>
      </c>
      <c r="B346" s="4" t="s">
        <v>188</v>
      </c>
      <c r="C346" s="12">
        <v>0</v>
      </c>
      <c r="D346" s="4" t="s">
        <v>69</v>
      </c>
      <c r="E346" s="4" t="s">
        <v>69</v>
      </c>
      <c r="F346" s="23"/>
      <c r="G346" s="11"/>
    </row>
    <row r="347" spans="1:7" ht="15.75" x14ac:dyDescent="0.25">
      <c r="A347" s="5" t="s">
        <v>194</v>
      </c>
      <c r="B347" s="4" t="s">
        <v>120</v>
      </c>
      <c r="C347" s="12">
        <v>0</v>
      </c>
      <c r="D347" s="4" t="s">
        <v>69</v>
      </c>
      <c r="E347" s="4" t="s">
        <v>69</v>
      </c>
      <c r="F347" s="23"/>
      <c r="G347" s="11"/>
    </row>
    <row r="348" spans="1:7" ht="15.75" x14ac:dyDescent="0.25">
      <c r="A348" s="5" t="s">
        <v>195</v>
      </c>
      <c r="B348" s="4" t="s">
        <v>188</v>
      </c>
      <c r="C348" s="12">
        <v>0</v>
      </c>
      <c r="D348" s="4" t="s">
        <v>69</v>
      </c>
      <c r="E348" s="4" t="s">
        <v>69</v>
      </c>
      <c r="F348" s="23"/>
      <c r="G348" s="11"/>
    </row>
    <row r="349" spans="1:7" ht="15.75" x14ac:dyDescent="0.25">
      <c r="A349" s="5" t="s">
        <v>194</v>
      </c>
      <c r="B349" s="4" t="s">
        <v>120</v>
      </c>
      <c r="C349" s="12">
        <v>0</v>
      </c>
      <c r="D349" s="4" t="s">
        <v>69</v>
      </c>
      <c r="E349" s="4" t="s">
        <v>69</v>
      </c>
      <c r="F349" s="23"/>
      <c r="G349" s="11"/>
    </row>
    <row r="350" spans="1:7" ht="15.75" x14ac:dyDescent="0.25">
      <c r="A350" s="5" t="s">
        <v>195</v>
      </c>
      <c r="B350" s="4" t="s">
        <v>188</v>
      </c>
      <c r="C350" s="12">
        <v>0</v>
      </c>
      <c r="D350" s="4" t="s">
        <v>69</v>
      </c>
      <c r="E350" s="4" t="s">
        <v>69</v>
      </c>
      <c r="F350" s="23"/>
      <c r="G350" s="11"/>
    </row>
    <row r="351" spans="1:7" ht="15.75" x14ac:dyDescent="0.25">
      <c r="A351" s="5" t="s">
        <v>194</v>
      </c>
      <c r="B351" s="4" t="s">
        <v>120</v>
      </c>
      <c r="C351" s="109">
        <v>0</v>
      </c>
      <c r="D351" s="4" t="s">
        <v>69</v>
      </c>
      <c r="E351" s="4" t="s">
        <v>69</v>
      </c>
      <c r="F351" s="110"/>
      <c r="G351" s="111"/>
    </row>
    <row r="352" spans="1:7" ht="15.75" x14ac:dyDescent="0.25">
      <c r="A352" s="5" t="s">
        <v>194</v>
      </c>
      <c r="B352" s="4" t="s">
        <v>120</v>
      </c>
      <c r="C352" s="14">
        <v>0</v>
      </c>
      <c r="D352" s="4" t="s">
        <v>69</v>
      </c>
      <c r="E352" s="4" t="s">
        <v>69</v>
      </c>
      <c r="F352" s="23"/>
      <c r="G352" s="11"/>
    </row>
    <row r="353" spans="1:7" ht="15.75" x14ac:dyDescent="0.25">
      <c r="A353" s="5" t="s">
        <v>195</v>
      </c>
      <c r="B353" s="4" t="s">
        <v>188</v>
      </c>
      <c r="C353" s="12">
        <v>0</v>
      </c>
      <c r="D353" s="4" t="s">
        <v>69</v>
      </c>
      <c r="E353" s="4" t="s">
        <v>69</v>
      </c>
      <c r="F353" s="23"/>
      <c r="G353" s="11"/>
    </row>
    <row r="354" spans="1:7" ht="15.75" x14ac:dyDescent="0.25">
      <c r="A354" s="5" t="s">
        <v>194</v>
      </c>
      <c r="B354" s="4" t="s">
        <v>120</v>
      </c>
      <c r="C354" s="12">
        <v>0</v>
      </c>
      <c r="D354" s="4" t="s">
        <v>69</v>
      </c>
      <c r="E354" s="4" t="s">
        <v>69</v>
      </c>
      <c r="F354" s="23"/>
      <c r="G354" s="11"/>
    </row>
    <row r="355" spans="1:7" ht="15.75" x14ac:dyDescent="0.25">
      <c r="A355" s="5" t="s">
        <v>195</v>
      </c>
      <c r="B355" s="4" t="s">
        <v>188</v>
      </c>
      <c r="C355" s="60">
        <v>0</v>
      </c>
      <c r="D355" s="4" t="s">
        <v>69</v>
      </c>
      <c r="E355" s="4" t="s">
        <v>69</v>
      </c>
      <c r="F355" s="23"/>
      <c r="G355" s="11"/>
    </row>
    <row r="356" spans="1:7" ht="15.75" x14ac:dyDescent="0.25">
      <c r="A356" s="5" t="s">
        <v>194</v>
      </c>
      <c r="B356" s="4" t="s">
        <v>120</v>
      </c>
      <c r="C356" s="12">
        <v>0</v>
      </c>
      <c r="D356" s="4" t="s">
        <v>69</v>
      </c>
      <c r="E356" s="4" t="s">
        <v>69</v>
      </c>
      <c r="F356" s="23"/>
      <c r="G356" s="11"/>
    </row>
    <row r="357" spans="1:7" ht="15.75" x14ac:dyDescent="0.25">
      <c r="A357" s="5" t="s">
        <v>195</v>
      </c>
      <c r="B357" s="4" t="s">
        <v>188</v>
      </c>
      <c r="C357" s="12">
        <v>0</v>
      </c>
      <c r="D357" s="4" t="s">
        <v>69</v>
      </c>
      <c r="E357" s="4" t="s">
        <v>69</v>
      </c>
      <c r="F357" s="23"/>
      <c r="G357" s="11"/>
    </row>
    <row r="358" spans="1:7" ht="15.75" x14ac:dyDescent="0.25">
      <c r="A358" s="5" t="s">
        <v>194</v>
      </c>
      <c r="B358" s="4" t="s">
        <v>120</v>
      </c>
      <c r="C358" s="12"/>
      <c r="D358" s="4"/>
      <c r="E358" s="4"/>
      <c r="F358" s="23"/>
      <c r="G358" s="11"/>
    </row>
    <row r="359" spans="1:7" ht="15.75" x14ac:dyDescent="0.25">
      <c r="A359" s="5" t="s">
        <v>195</v>
      </c>
      <c r="B359" s="4" t="s">
        <v>188</v>
      </c>
      <c r="C359" s="12"/>
      <c r="D359" s="4"/>
      <c r="E359" s="4"/>
      <c r="F359" s="23"/>
      <c r="G359" s="11"/>
    </row>
    <row r="360" spans="1:7" ht="15.75" x14ac:dyDescent="0.25">
      <c r="A360" s="5" t="s">
        <v>194</v>
      </c>
      <c r="B360" s="4" t="s">
        <v>120</v>
      </c>
      <c r="C360" s="12"/>
      <c r="D360" s="4"/>
      <c r="E360" s="4"/>
      <c r="F360" s="23"/>
      <c r="G360" s="11"/>
    </row>
    <row r="361" spans="1:7" ht="15.75" x14ac:dyDescent="0.25">
      <c r="A361" s="5" t="s">
        <v>195</v>
      </c>
      <c r="B361" s="4" t="s">
        <v>188</v>
      </c>
      <c r="C361" s="12"/>
      <c r="D361" s="4"/>
      <c r="E361" s="4"/>
      <c r="F361" s="23"/>
      <c r="G361" s="11"/>
    </row>
    <row r="362" spans="1:7" ht="15.75" x14ac:dyDescent="0.25">
      <c r="A362" s="5" t="s">
        <v>194</v>
      </c>
      <c r="B362" s="4" t="s">
        <v>120</v>
      </c>
      <c r="C362" s="12"/>
      <c r="D362" s="4"/>
      <c r="E362" s="4"/>
      <c r="F362" s="23"/>
      <c r="G362" s="11"/>
    </row>
    <row r="363" spans="1:7" ht="15.75" x14ac:dyDescent="0.25">
      <c r="A363" s="5" t="s">
        <v>195</v>
      </c>
      <c r="B363" s="4" t="s">
        <v>188</v>
      </c>
      <c r="C363" s="12"/>
      <c r="D363" s="4"/>
      <c r="E363" s="4"/>
      <c r="F363" s="23"/>
      <c r="G363" s="11"/>
    </row>
    <row r="364" spans="1:7" ht="15.75" x14ac:dyDescent="0.25">
      <c r="A364" s="5" t="s">
        <v>194</v>
      </c>
      <c r="B364" s="4" t="s">
        <v>120</v>
      </c>
      <c r="C364" s="12"/>
      <c r="D364" s="4"/>
      <c r="E364" s="4"/>
      <c r="F364" s="23"/>
      <c r="G364" s="11"/>
    </row>
    <row r="365" spans="1:7" ht="15.75" x14ac:dyDescent="0.25">
      <c r="A365" s="5" t="s">
        <v>195</v>
      </c>
      <c r="B365" s="4" t="s">
        <v>188</v>
      </c>
      <c r="C365" s="12"/>
      <c r="D365" s="4"/>
      <c r="E365" s="4"/>
      <c r="F365" s="23"/>
      <c r="G365" s="11"/>
    </row>
    <row r="366" spans="1:7" ht="15.75" x14ac:dyDescent="0.25">
      <c r="A366" s="5" t="s">
        <v>194</v>
      </c>
      <c r="B366" s="4" t="s">
        <v>120</v>
      </c>
      <c r="C366" s="12"/>
      <c r="D366" s="4"/>
      <c r="E366" s="4"/>
      <c r="F366" s="23"/>
      <c r="G366" s="11"/>
    </row>
    <row r="367" spans="1:7" ht="15.75" x14ac:dyDescent="0.25">
      <c r="A367" s="5" t="s">
        <v>195</v>
      </c>
      <c r="B367" s="4" t="s">
        <v>188</v>
      </c>
      <c r="C367" s="12"/>
      <c r="D367" s="4"/>
      <c r="E367" s="4"/>
      <c r="F367" s="23"/>
      <c r="G367" s="11"/>
    </row>
    <row r="368" spans="1:7" ht="15.75" x14ac:dyDescent="0.25">
      <c r="A368" s="5"/>
      <c r="B368" s="4"/>
      <c r="C368" s="12"/>
      <c r="D368" s="4"/>
      <c r="E368" s="4"/>
      <c r="F368" s="29"/>
      <c r="G368" s="30"/>
    </row>
    <row r="369" spans="1:7" ht="15.75" x14ac:dyDescent="0.25">
      <c r="A369" s="6"/>
      <c r="B369" s="4"/>
      <c r="C369" s="12"/>
      <c r="D369" s="4"/>
      <c r="E369" s="4" t="s">
        <v>115</v>
      </c>
      <c r="F369" s="24"/>
      <c r="G369" s="9"/>
    </row>
    <row r="370" spans="1:7" ht="15.75" x14ac:dyDescent="0.25">
      <c r="A370" s="6" t="s">
        <v>206</v>
      </c>
      <c r="B370" s="4"/>
      <c r="C370" s="12">
        <f>SUBTOTAL(9,C333:C369)</f>
        <v>69108.55</v>
      </c>
      <c r="D370" s="4"/>
      <c r="E370" s="4" t="s">
        <v>115</v>
      </c>
      <c r="F370" s="24"/>
      <c r="G370" s="9"/>
    </row>
    <row r="371" spans="1:7" ht="15.75" x14ac:dyDescent="0.25">
      <c r="A371" s="5" t="s">
        <v>40</v>
      </c>
      <c r="B371" s="6" t="s">
        <v>295</v>
      </c>
      <c r="C371" s="16"/>
      <c r="D371" s="4"/>
      <c r="E371" s="4" t="s">
        <v>115</v>
      </c>
      <c r="F371" s="24"/>
      <c r="G371" s="9"/>
    </row>
    <row r="373" spans="1:7" ht="21" x14ac:dyDescent="0.35">
      <c r="A373" s="127" t="s">
        <v>187</v>
      </c>
      <c r="B373" s="127"/>
      <c r="C373" s="127"/>
      <c r="D373" s="127"/>
      <c r="E373" s="127"/>
      <c r="F373" s="127"/>
      <c r="G373" s="128"/>
    </row>
    <row r="374" spans="1:7" ht="15.75" x14ac:dyDescent="0.25">
      <c r="A374" s="5" t="s">
        <v>7</v>
      </c>
      <c r="B374" s="4" t="s">
        <v>37</v>
      </c>
      <c r="C374" s="17" t="s">
        <v>6</v>
      </c>
      <c r="D374" s="4" t="s">
        <v>3</v>
      </c>
      <c r="E374" s="4" t="s">
        <v>9</v>
      </c>
      <c r="F374" s="24" t="s">
        <v>13</v>
      </c>
      <c r="G374" s="9" t="s">
        <v>14</v>
      </c>
    </row>
    <row r="375" spans="1:7" ht="15.75" x14ac:dyDescent="0.25">
      <c r="A375" s="5" t="s">
        <v>187</v>
      </c>
      <c r="B375" s="4" t="s">
        <v>85</v>
      </c>
      <c r="C375" s="12" t="s">
        <v>69</v>
      </c>
      <c r="D375" s="4" t="s">
        <v>4</v>
      </c>
      <c r="E375" s="4" t="s">
        <v>4</v>
      </c>
      <c r="F375" s="24"/>
      <c r="G375" s="9"/>
    </row>
    <row r="376" spans="1:7" ht="15.75" x14ac:dyDescent="0.25">
      <c r="A376" s="5" t="s">
        <v>879</v>
      </c>
      <c r="B376" s="4" t="s">
        <v>8</v>
      </c>
      <c r="C376" s="12" t="s">
        <v>69</v>
      </c>
      <c r="D376" s="4" t="s">
        <v>4</v>
      </c>
      <c r="E376" s="4" t="s">
        <v>4</v>
      </c>
      <c r="F376" s="24"/>
      <c r="G376" s="9"/>
    </row>
    <row r="377" spans="1:7" ht="15.75" x14ac:dyDescent="0.25">
      <c r="A377" s="5" t="s">
        <v>187</v>
      </c>
      <c r="B377" s="4" t="s">
        <v>85</v>
      </c>
      <c r="C377" s="12" t="s">
        <v>69</v>
      </c>
      <c r="D377" s="4" t="s">
        <v>4</v>
      </c>
      <c r="E377" s="4" t="s">
        <v>4</v>
      </c>
      <c r="F377" s="24"/>
      <c r="G377" s="9"/>
    </row>
    <row r="378" spans="1:7" ht="15.75" x14ac:dyDescent="0.25">
      <c r="A378" s="5" t="s">
        <v>879</v>
      </c>
      <c r="B378" s="4" t="s">
        <v>8</v>
      </c>
      <c r="C378" s="12" t="s">
        <v>69</v>
      </c>
      <c r="D378" s="4" t="s">
        <v>4</v>
      </c>
      <c r="E378" s="4" t="s">
        <v>4</v>
      </c>
      <c r="F378" s="24"/>
      <c r="G378" s="9"/>
    </row>
    <row r="379" spans="1:7" ht="15.75" x14ac:dyDescent="0.25">
      <c r="A379" s="5" t="s">
        <v>198</v>
      </c>
      <c r="B379" s="4" t="s">
        <v>85</v>
      </c>
      <c r="C379" s="13"/>
      <c r="D379" s="4"/>
      <c r="E379" s="4"/>
      <c r="F379" s="24"/>
      <c r="G379" s="9"/>
    </row>
    <row r="380" spans="1:7" ht="15.75" x14ac:dyDescent="0.25">
      <c r="A380" s="5" t="s">
        <v>199</v>
      </c>
      <c r="B380" s="4" t="s">
        <v>8</v>
      </c>
      <c r="C380" s="13"/>
      <c r="D380" s="4"/>
      <c r="E380" s="4"/>
      <c r="F380" s="24"/>
      <c r="G380" s="9"/>
    </row>
    <row r="381" spans="1:7" ht="15.75" x14ac:dyDescent="0.25">
      <c r="A381" s="5" t="s">
        <v>198</v>
      </c>
      <c r="B381" s="4" t="s">
        <v>85</v>
      </c>
      <c r="C381" s="13"/>
      <c r="D381" s="8"/>
      <c r="E381" s="4"/>
      <c r="F381" s="24"/>
      <c r="G381" s="9"/>
    </row>
    <row r="382" spans="1:7" ht="15.75" x14ac:dyDescent="0.25">
      <c r="A382" s="5" t="s">
        <v>199</v>
      </c>
      <c r="B382" s="4" t="s">
        <v>8</v>
      </c>
      <c r="C382" s="13"/>
      <c r="D382" s="8"/>
      <c r="E382" s="4"/>
      <c r="F382" s="24"/>
      <c r="G382" s="9"/>
    </row>
    <row r="383" spans="1:7" ht="15.75" x14ac:dyDescent="0.25">
      <c r="A383" s="5" t="s">
        <v>198</v>
      </c>
      <c r="B383" s="4" t="s">
        <v>85</v>
      </c>
      <c r="C383" s="13"/>
      <c r="D383" s="8"/>
      <c r="E383" s="8"/>
      <c r="F383" s="24"/>
      <c r="G383" s="9"/>
    </row>
    <row r="384" spans="1:7" ht="15.75" x14ac:dyDescent="0.25">
      <c r="A384" s="5" t="s">
        <v>199</v>
      </c>
      <c r="B384" s="4" t="s">
        <v>8</v>
      </c>
      <c r="C384" s="13"/>
      <c r="D384" s="8"/>
      <c r="E384" s="8"/>
      <c r="F384" s="24"/>
      <c r="G384" s="9"/>
    </row>
    <row r="385" spans="1:7" ht="15.75" x14ac:dyDescent="0.25">
      <c r="A385" s="5"/>
      <c r="B385" s="4"/>
      <c r="C385" s="12"/>
      <c r="D385" s="4"/>
      <c r="E385" s="4"/>
      <c r="F385" s="24"/>
      <c r="G385" s="9"/>
    </row>
    <row r="386" spans="1:7" ht="15.75" x14ac:dyDescent="0.25">
      <c r="A386" s="5"/>
      <c r="B386" s="4"/>
      <c r="C386" s="12"/>
      <c r="D386" s="4"/>
      <c r="E386" s="4"/>
      <c r="F386" s="23"/>
      <c r="G386" s="11"/>
    </row>
    <row r="387" spans="1:7" ht="15.75" x14ac:dyDescent="0.25">
      <c r="A387" s="5"/>
      <c r="B387" s="4"/>
      <c r="C387" s="12"/>
      <c r="D387" s="4"/>
      <c r="E387" s="4"/>
      <c r="F387" s="24"/>
      <c r="G387" s="9"/>
    </row>
    <row r="388" spans="1:7" ht="15.75" x14ac:dyDescent="0.25">
      <c r="A388" s="10"/>
      <c r="B388" s="8"/>
      <c r="C388" s="13"/>
      <c r="D388" s="8"/>
      <c r="E388" s="8"/>
      <c r="F388" s="24"/>
      <c r="G388" s="9"/>
    </row>
    <row r="389" spans="1:7" ht="15.75" x14ac:dyDescent="0.25">
      <c r="A389" s="5"/>
      <c r="B389" s="8"/>
      <c r="C389" s="13"/>
      <c r="D389" s="8"/>
      <c r="E389" s="8"/>
      <c r="F389" s="24"/>
      <c r="G389" s="9"/>
    </row>
    <row r="390" spans="1:7" ht="15.75" x14ac:dyDescent="0.25">
      <c r="A390" s="10"/>
      <c r="B390" s="8"/>
      <c r="C390" s="13"/>
      <c r="D390" s="8"/>
      <c r="E390" s="8"/>
      <c r="F390" s="24"/>
      <c r="G390" s="9"/>
    </row>
    <row r="391" spans="1:7" ht="15.75" x14ac:dyDescent="0.25">
      <c r="A391" s="5"/>
      <c r="B391" s="4"/>
      <c r="C391" s="15"/>
      <c r="D391" s="4"/>
      <c r="E391" s="4" t="s">
        <v>115</v>
      </c>
      <c r="F391" s="24"/>
      <c r="G391" s="9"/>
    </row>
    <row r="392" spans="1:7" ht="15.75" x14ac:dyDescent="0.25">
      <c r="A392" s="6" t="s">
        <v>206</v>
      </c>
      <c r="B392" s="4"/>
      <c r="C392" s="12">
        <f>SUBTOTAL(9,C375:C391)</f>
        <v>0</v>
      </c>
      <c r="D392" s="4"/>
      <c r="E392" s="4" t="s">
        <v>115</v>
      </c>
      <c r="F392" s="24"/>
      <c r="G392" s="9"/>
    </row>
    <row r="393" spans="1:7" ht="15.75" x14ac:dyDescent="0.25">
      <c r="A393" s="5" t="s">
        <v>40</v>
      </c>
      <c r="B393" s="6" t="s">
        <v>295</v>
      </c>
      <c r="C393" s="16"/>
      <c r="D393" s="4"/>
      <c r="E393" s="4" t="s">
        <v>115</v>
      </c>
      <c r="F393" s="24"/>
      <c r="G393" s="9"/>
    </row>
  </sheetData>
  <mergeCells count="7">
    <mergeCell ref="A373:G373"/>
    <mergeCell ref="A1:H1"/>
    <mergeCell ref="K1:AB1"/>
    <mergeCell ref="K21:R21"/>
    <mergeCell ref="K42:T42"/>
    <mergeCell ref="A314:H314"/>
    <mergeCell ref="A331:G331"/>
  </mergeCells>
  <pageMargins left="0.511811024" right="0.511811024" top="0.78740157499999996" bottom="0.78740157499999996" header="0.31496062000000002" footer="0.31496062000000002"/>
  <pageSetup paperSize="9" scale="21" fitToHeight="0" orientation="portrait" horizontalDpi="300" verticalDpi="3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EDF6-5953-49F7-BB31-EA111DA0AD8D}">
  <sheetPr>
    <pageSetUpPr fitToPage="1"/>
  </sheetPr>
  <dimension ref="A1:AA464"/>
  <sheetViews>
    <sheetView tabSelected="1" topLeftCell="D193" zoomScale="99" zoomScaleNormal="99" workbookViewId="0">
      <selection activeCell="H194" sqref="H194"/>
    </sheetView>
  </sheetViews>
  <sheetFormatPr defaultRowHeight="15" x14ac:dyDescent="0.25"/>
  <cols>
    <col min="1" max="1" width="76.140625" style="2" customWidth="1"/>
    <col min="2" max="2" width="15.7109375" customWidth="1"/>
    <col min="3" max="3" width="14.140625" customWidth="1"/>
    <col min="4" max="4" width="13.5703125" customWidth="1"/>
    <col min="5" max="5" width="10.5703125" customWidth="1"/>
    <col min="6" max="6" width="9.140625" style="25" customWidth="1"/>
    <col min="7" max="7" width="12.5703125" style="3" customWidth="1"/>
    <col min="8" max="8" width="13.28515625" customWidth="1"/>
    <col min="9" max="9" width="7.7109375" customWidth="1"/>
    <col min="10" max="10" width="19.42578125" customWidth="1"/>
    <col min="11" max="11" width="13.85546875" customWidth="1"/>
    <col min="12" max="12" width="13.7109375" customWidth="1"/>
    <col min="13" max="16" width="12.7109375" customWidth="1"/>
    <col min="17" max="17" width="14.85546875" customWidth="1"/>
    <col min="18" max="18" width="14.7109375" customWidth="1"/>
    <col min="19" max="27" width="13.7109375" customWidth="1"/>
    <col min="28" max="28" width="13.42578125" customWidth="1"/>
  </cols>
  <sheetData>
    <row r="1" spans="1:27" ht="21" x14ac:dyDescent="0.35">
      <c r="A1" s="129" t="s">
        <v>159</v>
      </c>
      <c r="B1" s="130"/>
      <c r="C1" s="130"/>
      <c r="D1" s="130"/>
      <c r="E1" s="130"/>
      <c r="F1" s="130"/>
      <c r="G1" s="130"/>
      <c r="H1" s="131"/>
      <c r="J1" s="132" t="s">
        <v>44</v>
      </c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</row>
    <row r="2" spans="1:27" ht="15.75" x14ac:dyDescent="0.25">
      <c r="A2" s="5" t="s">
        <v>7</v>
      </c>
      <c r="B2" s="4" t="s">
        <v>147</v>
      </c>
      <c r="C2" s="4" t="s">
        <v>146</v>
      </c>
      <c r="D2" s="17" t="s">
        <v>6</v>
      </c>
      <c r="E2" s="4" t="s">
        <v>3</v>
      </c>
      <c r="F2" s="4" t="s">
        <v>9</v>
      </c>
      <c r="G2" s="37" t="s">
        <v>89</v>
      </c>
      <c r="H2" s="9" t="s">
        <v>14</v>
      </c>
      <c r="J2" t="s">
        <v>45</v>
      </c>
      <c r="K2" t="s">
        <v>49</v>
      </c>
      <c r="L2" t="s">
        <v>185</v>
      </c>
      <c r="M2" t="s">
        <v>219</v>
      </c>
      <c r="N2" t="s">
        <v>50</v>
      </c>
      <c r="O2" t="s">
        <v>53</v>
      </c>
      <c r="P2" t="s">
        <v>55</v>
      </c>
      <c r="Q2" t="s">
        <v>57</v>
      </c>
      <c r="R2" t="s">
        <v>58</v>
      </c>
      <c r="S2" t="s">
        <v>2</v>
      </c>
      <c r="T2" t="s">
        <v>61</v>
      </c>
      <c r="U2" t="s">
        <v>65</v>
      </c>
      <c r="V2" t="s">
        <v>116</v>
      </c>
      <c r="W2" t="s">
        <v>218</v>
      </c>
      <c r="X2" t="s">
        <v>66</v>
      </c>
      <c r="Y2" t="s">
        <v>0</v>
      </c>
    </row>
    <row r="3" spans="1:27" ht="15.75" x14ac:dyDescent="0.25">
      <c r="A3" s="5" t="s">
        <v>1061</v>
      </c>
      <c r="B3" s="4" t="s">
        <v>148</v>
      </c>
      <c r="C3" s="4" t="s">
        <v>38</v>
      </c>
      <c r="D3" s="56">
        <v>390</v>
      </c>
      <c r="E3" s="4" t="s">
        <v>4</v>
      </c>
      <c r="F3" s="64" t="s">
        <v>4</v>
      </c>
      <c r="G3" s="53" t="s">
        <v>69</v>
      </c>
      <c r="H3" s="11">
        <v>46146</v>
      </c>
      <c r="J3" t="s">
        <v>46</v>
      </c>
      <c r="P3" s="1"/>
      <c r="W3" s="7"/>
      <c r="X3" s="7"/>
      <c r="Y3" s="1">
        <f>SUM(Tabela40465776941121301481663910174291623[[#This Row],[LEANDRO TR]:[PAULO]])</f>
        <v>0</v>
      </c>
    </row>
    <row r="4" spans="1:27" ht="15.75" x14ac:dyDescent="0.25">
      <c r="A4" s="5" t="s">
        <v>1062</v>
      </c>
      <c r="B4" s="4" t="s">
        <v>148</v>
      </c>
      <c r="C4" s="4" t="s">
        <v>38</v>
      </c>
      <c r="D4" s="33">
        <v>390</v>
      </c>
      <c r="E4" s="4" t="s">
        <v>4</v>
      </c>
      <c r="F4" s="64" t="s">
        <v>4</v>
      </c>
      <c r="G4" s="89"/>
      <c r="H4" s="11">
        <v>46146</v>
      </c>
      <c r="J4" t="s">
        <v>47</v>
      </c>
      <c r="L4" s="1"/>
      <c r="W4" s="7"/>
      <c r="X4" s="7"/>
      <c r="Y4" s="1">
        <f>SUM(Tabela40465776941121301481663910174291623[[#This Row],[LEANDRO TR]:[PAULO]])</f>
        <v>0</v>
      </c>
    </row>
    <row r="5" spans="1:27" ht="15.75" x14ac:dyDescent="0.25">
      <c r="A5" s="5" t="s">
        <v>1063</v>
      </c>
      <c r="B5" s="4" t="s">
        <v>148</v>
      </c>
      <c r="C5" s="4" t="s">
        <v>38</v>
      </c>
      <c r="D5" s="124">
        <v>99.9</v>
      </c>
      <c r="E5" s="4" t="s">
        <v>4</v>
      </c>
      <c r="F5" s="64" t="s">
        <v>4</v>
      </c>
      <c r="G5" s="23" t="s">
        <v>69</v>
      </c>
      <c r="H5" s="11">
        <v>46146</v>
      </c>
      <c r="J5" t="s">
        <v>48</v>
      </c>
      <c r="L5" s="1"/>
      <c r="V5" s="1"/>
      <c r="W5" s="1"/>
      <c r="X5" s="1"/>
      <c r="Y5" s="1">
        <f>SUM(Tabela40465776941121301481663910174291623[[#This Row],[LEANDRO TR]:[PAULO]])</f>
        <v>0</v>
      </c>
    </row>
    <row r="6" spans="1:27" ht="15.75" x14ac:dyDescent="0.25">
      <c r="A6" s="5" t="s">
        <v>1064</v>
      </c>
      <c r="B6" s="4" t="s">
        <v>148</v>
      </c>
      <c r="C6" s="4" t="s">
        <v>38</v>
      </c>
      <c r="D6" s="12">
        <v>1830</v>
      </c>
      <c r="E6" s="4" t="s">
        <v>4</v>
      </c>
      <c r="F6" s="64" t="s">
        <v>4</v>
      </c>
      <c r="G6" s="23" t="s">
        <v>69</v>
      </c>
      <c r="H6" s="11">
        <v>46146</v>
      </c>
      <c r="J6" t="s">
        <v>51</v>
      </c>
      <c r="M6" s="61"/>
      <c r="W6" s="7"/>
      <c r="X6" s="7"/>
      <c r="Y6" s="1">
        <f>SUM(Tabela40465776941121301481663910174291623[[#This Row],[LEANDRO TR]:[PAULO]])</f>
        <v>0</v>
      </c>
    </row>
    <row r="7" spans="1:27" ht="15.75" x14ac:dyDescent="0.25">
      <c r="A7" s="5" t="s">
        <v>323</v>
      </c>
      <c r="B7" s="4" t="s">
        <v>148</v>
      </c>
      <c r="C7" s="4" t="s">
        <v>38</v>
      </c>
      <c r="D7" s="121">
        <v>424.11</v>
      </c>
      <c r="E7" s="4" t="s">
        <v>4</v>
      </c>
      <c r="F7" s="64" t="s">
        <v>4</v>
      </c>
      <c r="G7" s="119"/>
      <c r="H7" s="120">
        <v>46146</v>
      </c>
      <c r="J7" t="s">
        <v>52</v>
      </c>
      <c r="O7" s="61"/>
      <c r="W7" s="7"/>
      <c r="X7" s="7"/>
      <c r="Y7" s="1">
        <f>SUM(Tabela40465776941121301481663910174291623[[#This Row],[LEANDRO TR]:[PAULO]])</f>
        <v>0</v>
      </c>
      <c r="Z7" s="7"/>
    </row>
    <row r="8" spans="1:27" ht="15.75" x14ac:dyDescent="0.25">
      <c r="A8" s="5" t="s">
        <v>30</v>
      </c>
      <c r="B8" s="4" t="s">
        <v>152</v>
      </c>
      <c r="C8" s="4" t="s">
        <v>38</v>
      </c>
      <c r="D8" s="121">
        <v>67.849999999999994</v>
      </c>
      <c r="E8" s="4" t="s">
        <v>4</v>
      </c>
      <c r="F8" s="64" t="s">
        <v>4</v>
      </c>
      <c r="G8" s="119"/>
      <c r="H8" s="120">
        <v>46146</v>
      </c>
      <c r="J8" t="s">
        <v>54</v>
      </c>
      <c r="K8" s="61"/>
      <c r="W8" s="7"/>
      <c r="X8" s="7"/>
      <c r="Y8" s="1">
        <f>SUM(Tabela40465776941121301481663910174291623[[#This Row],[LEANDRO TR]:[PAULO]])</f>
        <v>0</v>
      </c>
      <c r="Z8" s="7"/>
    </row>
    <row r="9" spans="1:27" ht="15.75" x14ac:dyDescent="0.25">
      <c r="A9" s="5" t="s">
        <v>1065</v>
      </c>
      <c r="B9" s="4" t="s">
        <v>148</v>
      </c>
      <c r="C9" s="4" t="s">
        <v>38</v>
      </c>
      <c r="D9" s="12">
        <v>600</v>
      </c>
      <c r="E9" s="4" t="s">
        <v>4</v>
      </c>
      <c r="F9" s="64" t="s">
        <v>4</v>
      </c>
      <c r="G9" s="53" t="s">
        <v>69</v>
      </c>
      <c r="H9" s="11">
        <v>46146</v>
      </c>
      <c r="J9" t="s">
        <v>56</v>
      </c>
      <c r="Q9" s="1"/>
      <c r="T9" s="1"/>
      <c r="W9" s="7"/>
      <c r="X9" s="7"/>
      <c r="Y9" s="1">
        <f>SUM(Tabela40465776941121301481663910174291623[[#This Row],[LEANDRO TR]:[PAULO]])</f>
        <v>0</v>
      </c>
      <c r="Z9" s="7"/>
    </row>
    <row r="10" spans="1:27" ht="15.75" x14ac:dyDescent="0.25">
      <c r="A10" s="5" t="s">
        <v>1202</v>
      </c>
      <c r="B10" s="4" t="s">
        <v>148</v>
      </c>
      <c r="C10" s="4" t="s">
        <v>38</v>
      </c>
      <c r="D10" s="12">
        <v>66.150000000000006</v>
      </c>
      <c r="E10" s="4" t="s">
        <v>4</v>
      </c>
      <c r="F10" s="64" t="s">
        <v>4</v>
      </c>
      <c r="G10" s="53" t="s">
        <v>69</v>
      </c>
      <c r="H10" s="11">
        <v>46146</v>
      </c>
      <c r="J10" t="s">
        <v>59</v>
      </c>
      <c r="R10" s="1"/>
      <c r="W10" s="7"/>
      <c r="X10" s="7"/>
      <c r="Y10" s="1">
        <f>SUM(Tabela40465776941121301481663910174291623[[#This Row],[LEANDRO TR]:[PAULO]])</f>
        <v>0</v>
      </c>
      <c r="Z10" s="7"/>
    </row>
    <row r="11" spans="1:27" ht="15.75" x14ac:dyDescent="0.25">
      <c r="A11" s="5" t="s">
        <v>1010</v>
      </c>
      <c r="B11" s="4" t="s">
        <v>148</v>
      </c>
      <c r="C11" s="4" t="s">
        <v>39</v>
      </c>
      <c r="D11" s="12">
        <v>179.6</v>
      </c>
      <c r="E11" s="4" t="s">
        <v>4</v>
      </c>
      <c r="F11" s="64" t="s">
        <v>4</v>
      </c>
      <c r="G11" s="23" t="s">
        <v>69</v>
      </c>
      <c r="H11" s="11">
        <v>46146</v>
      </c>
      <c r="J11" t="s">
        <v>60</v>
      </c>
      <c r="S11" s="1"/>
      <c r="W11" s="7"/>
      <c r="X11" s="7"/>
      <c r="Y11" s="1">
        <f>SUM(Tabela40465776941121301481663910174291623[[#This Row],[LEANDRO TR]:[PAULO]])</f>
        <v>0</v>
      </c>
      <c r="Z11" s="7"/>
    </row>
    <row r="12" spans="1:27" ht="15.75" x14ac:dyDescent="0.25">
      <c r="A12" s="5" t="s">
        <v>235</v>
      </c>
      <c r="B12" s="4" t="s">
        <v>148</v>
      </c>
      <c r="C12" s="4" t="s">
        <v>38</v>
      </c>
      <c r="D12" s="12">
        <v>1653.4</v>
      </c>
      <c r="E12" s="4" t="s">
        <v>4</v>
      </c>
      <c r="F12" s="64" t="s">
        <v>4</v>
      </c>
      <c r="G12" s="53" t="s">
        <v>69</v>
      </c>
      <c r="H12" s="11">
        <v>46146</v>
      </c>
      <c r="J12" t="s">
        <v>62</v>
      </c>
      <c r="W12" s="7"/>
      <c r="X12" s="7"/>
      <c r="Y12" s="1">
        <f>SUM(Tabela40465776941121301481663910174291623[[#This Row],[LEANDRO TR]:[PAULO]])</f>
        <v>0</v>
      </c>
      <c r="Z12" s="7"/>
    </row>
    <row r="13" spans="1:27" ht="15.75" x14ac:dyDescent="0.25">
      <c r="A13" s="5" t="s">
        <v>1066</v>
      </c>
      <c r="B13" s="4" t="s">
        <v>148</v>
      </c>
      <c r="C13" s="4" t="s">
        <v>38</v>
      </c>
      <c r="D13" s="121">
        <v>320</v>
      </c>
      <c r="E13" s="4" t="s">
        <v>4</v>
      </c>
      <c r="F13" s="64" t="s">
        <v>4</v>
      </c>
      <c r="G13" s="119"/>
      <c r="H13" s="120">
        <v>46146</v>
      </c>
      <c r="J13" t="s">
        <v>63</v>
      </c>
      <c r="L13" s="1"/>
      <c r="M13" s="1"/>
      <c r="N13" s="1"/>
      <c r="Q13" s="1"/>
      <c r="W13" s="7"/>
      <c r="X13" s="7"/>
      <c r="Y13" s="1">
        <f>SUM(Tabela40465776941121301481663910174291623[[#This Row],[LEANDRO TR]:[PAULO]])</f>
        <v>0</v>
      </c>
      <c r="Z13" s="7"/>
    </row>
    <row r="14" spans="1:27" ht="15.75" x14ac:dyDescent="0.25">
      <c r="A14" s="5" t="s">
        <v>1068</v>
      </c>
      <c r="B14" s="4" t="s">
        <v>148</v>
      </c>
      <c r="C14" s="4" t="s">
        <v>38</v>
      </c>
      <c r="D14" s="121">
        <v>130</v>
      </c>
      <c r="E14" s="4" t="s">
        <v>4</v>
      </c>
      <c r="F14" s="64" t="s">
        <v>4</v>
      </c>
      <c r="G14" s="119"/>
      <c r="H14" s="120">
        <v>46146</v>
      </c>
      <c r="J14" t="s">
        <v>64</v>
      </c>
      <c r="U14" s="7"/>
      <c r="W14" s="7"/>
      <c r="X14" s="7"/>
      <c r="Y14" s="1">
        <f>SUM(Tabela40465776941121301481663910174291623[[#This Row],[LEANDRO TR]:[PAULO]])</f>
        <v>0</v>
      </c>
      <c r="Z14" s="7"/>
    </row>
    <row r="15" spans="1:27" ht="15.75" x14ac:dyDescent="0.25">
      <c r="A15" s="5" t="s">
        <v>1067</v>
      </c>
      <c r="B15" s="4" t="s">
        <v>148</v>
      </c>
      <c r="C15" s="4" t="s">
        <v>38</v>
      </c>
      <c r="D15" s="121">
        <v>100</v>
      </c>
      <c r="E15" s="4" t="s">
        <v>4</v>
      </c>
      <c r="F15" s="64" t="s">
        <v>4</v>
      </c>
      <c r="G15" s="119"/>
      <c r="H15" s="120">
        <v>46146</v>
      </c>
      <c r="J15" t="s">
        <v>67</v>
      </c>
      <c r="T15" s="1"/>
      <c r="W15" s="7"/>
      <c r="X15" s="7"/>
      <c r="Y15" s="1">
        <f>SUM(Tabela40465776941121301481663910174291623[[#This Row],[LEANDRO TR]:[PAULO]])</f>
        <v>0</v>
      </c>
    </row>
    <row r="16" spans="1:27" ht="15.75" x14ac:dyDescent="0.25">
      <c r="A16" s="5" t="s">
        <v>1069</v>
      </c>
      <c r="B16" s="4" t="s">
        <v>148</v>
      </c>
      <c r="C16" s="4" t="s">
        <v>38</v>
      </c>
      <c r="D16" s="121">
        <v>120</v>
      </c>
      <c r="E16" s="4" t="s">
        <v>4</v>
      </c>
      <c r="F16" s="64" t="s">
        <v>4</v>
      </c>
      <c r="G16" s="119"/>
      <c r="H16" s="120">
        <v>46146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6" ht="15.75" x14ac:dyDescent="0.25">
      <c r="A17" s="5" t="s">
        <v>1070</v>
      </c>
      <c r="B17" s="4" t="s">
        <v>148</v>
      </c>
      <c r="C17" s="4" t="s">
        <v>38</v>
      </c>
      <c r="D17" s="121">
        <v>150</v>
      </c>
      <c r="E17" s="4" t="s">
        <v>4</v>
      </c>
      <c r="F17" s="64" t="s">
        <v>4</v>
      </c>
      <c r="G17" s="119"/>
      <c r="H17" s="120">
        <v>46146</v>
      </c>
      <c r="J17" s="18" t="s">
        <v>0</v>
      </c>
      <c r="K17" s="19">
        <f t="shared" ref="K17:Y17" si="0">SUM(K3:K16)</f>
        <v>0</v>
      </c>
      <c r="L17" s="19">
        <f t="shared" si="0"/>
        <v>0</v>
      </c>
      <c r="M17" s="19">
        <f t="shared" si="0"/>
        <v>0</v>
      </c>
      <c r="N17" s="19">
        <f t="shared" si="0"/>
        <v>0</v>
      </c>
      <c r="O17" s="19">
        <f t="shared" si="0"/>
        <v>0</v>
      </c>
      <c r="P17" s="19">
        <f>SUM(P3:P16)</f>
        <v>0</v>
      </c>
      <c r="Q17" s="19">
        <f t="shared" si="0"/>
        <v>0</v>
      </c>
      <c r="R17" s="19">
        <f t="shared" si="0"/>
        <v>0</v>
      </c>
      <c r="S17" s="19">
        <f t="shared" si="0"/>
        <v>0</v>
      </c>
      <c r="T17" s="19">
        <f t="shared" si="0"/>
        <v>0</v>
      </c>
      <c r="U17" s="19">
        <f t="shared" si="0"/>
        <v>0</v>
      </c>
      <c r="V17" s="19">
        <f t="shared" si="0"/>
        <v>0</v>
      </c>
      <c r="W17" s="19">
        <f>SUM(W3:W16)</f>
        <v>0</v>
      </c>
      <c r="X17" s="19">
        <f t="shared" si="0"/>
        <v>0</v>
      </c>
      <c r="Y17" s="19">
        <f t="shared" si="0"/>
        <v>0</v>
      </c>
    </row>
    <row r="18" spans="1:26" ht="15.75" x14ac:dyDescent="0.25">
      <c r="A18" s="5" t="s">
        <v>408</v>
      </c>
      <c r="B18" s="4" t="s">
        <v>148</v>
      </c>
      <c r="C18" s="4" t="s">
        <v>38</v>
      </c>
      <c r="D18" s="121">
        <v>600</v>
      </c>
      <c r="E18" s="4" t="s">
        <v>4</v>
      </c>
      <c r="F18" s="64" t="s">
        <v>4</v>
      </c>
      <c r="G18" s="119"/>
      <c r="H18" s="120">
        <v>46146</v>
      </c>
      <c r="J18" s="34" t="s">
        <v>131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>
        <f>SUM(Tabela40465776941121301481663910174291623[[#This Row],[LEANDRO TR]:[PAULO]])</f>
        <v>0</v>
      </c>
    </row>
    <row r="19" spans="1:26" ht="15.75" x14ac:dyDescent="0.25">
      <c r="A19" s="5" t="s">
        <v>409</v>
      </c>
      <c r="B19" s="4" t="s">
        <v>148</v>
      </c>
      <c r="C19" s="4" t="s">
        <v>38</v>
      </c>
      <c r="D19" s="14">
        <v>-345</v>
      </c>
      <c r="E19" s="4" t="s">
        <v>4</v>
      </c>
      <c r="F19" s="64" t="s">
        <v>4</v>
      </c>
      <c r="G19" s="23" t="s">
        <v>69</v>
      </c>
      <c r="H19" s="11">
        <v>46146</v>
      </c>
      <c r="J19" s="20" t="s">
        <v>68</v>
      </c>
      <c r="K19" s="21">
        <f>(900)-(K17-K18)</f>
        <v>900</v>
      </c>
      <c r="L19" s="21">
        <f t="shared" ref="L19:X19" si="1">(900)-(L17-L18)</f>
        <v>900</v>
      </c>
      <c r="M19" s="21">
        <f t="shared" si="1"/>
        <v>900</v>
      </c>
      <c r="N19" s="21">
        <f t="shared" si="1"/>
        <v>900</v>
      </c>
      <c r="O19" s="21">
        <f t="shared" si="1"/>
        <v>900</v>
      </c>
      <c r="P19" s="21">
        <f t="shared" si="1"/>
        <v>900</v>
      </c>
      <c r="Q19" s="21">
        <f t="shared" si="1"/>
        <v>900</v>
      </c>
      <c r="R19" s="21">
        <f t="shared" si="1"/>
        <v>900</v>
      </c>
      <c r="S19" s="21">
        <f t="shared" si="1"/>
        <v>900</v>
      </c>
      <c r="T19" s="21">
        <f t="shared" si="1"/>
        <v>900</v>
      </c>
      <c r="U19" s="21">
        <f t="shared" si="1"/>
        <v>900</v>
      </c>
      <c r="V19" s="21">
        <f t="shared" si="1"/>
        <v>900</v>
      </c>
      <c r="W19" s="21">
        <f t="shared" si="1"/>
        <v>900</v>
      </c>
      <c r="X19" s="21">
        <f t="shared" si="1"/>
        <v>900</v>
      </c>
      <c r="Y19" s="22">
        <f>SUM(Tabela40465776941121301481663910174291623[[#This Row],[LEANDRO TR]:[PAULO]])</f>
        <v>12600</v>
      </c>
    </row>
    <row r="20" spans="1:26" ht="15.75" x14ac:dyDescent="0.25">
      <c r="A20" s="5" t="s">
        <v>1071</v>
      </c>
      <c r="B20" s="4" t="s">
        <v>148</v>
      </c>
      <c r="C20" s="4" t="s">
        <v>39</v>
      </c>
      <c r="D20" s="121">
        <v>300</v>
      </c>
      <c r="E20" s="4" t="s">
        <v>4</v>
      </c>
      <c r="F20" s="64" t="s">
        <v>4</v>
      </c>
      <c r="G20" s="119"/>
      <c r="H20" s="120">
        <v>46146</v>
      </c>
      <c r="N20" s="7"/>
    </row>
    <row r="21" spans="1:26" ht="16.5" customHeight="1" x14ac:dyDescent="0.3">
      <c r="A21" s="5" t="s">
        <v>1072</v>
      </c>
      <c r="B21" s="4" t="s">
        <v>138</v>
      </c>
      <c r="C21" s="4" t="s">
        <v>39</v>
      </c>
      <c r="D21" s="33">
        <v>288.43</v>
      </c>
      <c r="E21" s="4" t="s">
        <v>4</v>
      </c>
      <c r="F21" s="64" t="s">
        <v>4</v>
      </c>
      <c r="G21" s="53" t="s">
        <v>824</v>
      </c>
      <c r="H21" s="11">
        <v>46147</v>
      </c>
      <c r="J21" s="134" t="s">
        <v>107</v>
      </c>
      <c r="K21" s="135"/>
      <c r="L21" s="135"/>
      <c r="M21" s="135"/>
      <c r="N21" s="135"/>
      <c r="O21" s="135"/>
      <c r="P21" s="135"/>
      <c r="Q21" s="135"/>
      <c r="R21" s="7"/>
    </row>
    <row r="22" spans="1:26" ht="15.75" x14ac:dyDescent="0.25">
      <c r="A22" s="5" t="s">
        <v>1073</v>
      </c>
      <c r="B22" s="4" t="s">
        <v>149</v>
      </c>
      <c r="C22" s="4" t="s">
        <v>39</v>
      </c>
      <c r="D22" s="12">
        <v>54</v>
      </c>
      <c r="E22" s="4" t="s">
        <v>4</v>
      </c>
      <c r="F22" s="64" t="s">
        <v>4</v>
      </c>
      <c r="G22" s="53" t="s">
        <v>92</v>
      </c>
      <c r="H22" s="11">
        <v>46147</v>
      </c>
      <c r="J22" t="s">
        <v>45</v>
      </c>
      <c r="K22" t="s">
        <v>163</v>
      </c>
      <c r="L22" t="s">
        <v>6</v>
      </c>
      <c r="M22" t="s">
        <v>162</v>
      </c>
      <c r="N22" t="s">
        <v>108</v>
      </c>
      <c r="O22" t="s">
        <v>182</v>
      </c>
      <c r="P22" t="s">
        <v>164</v>
      </c>
      <c r="Q22" t="s">
        <v>168</v>
      </c>
      <c r="W22" s="7"/>
      <c r="X22" s="7"/>
      <c r="Y22" s="7"/>
      <c r="Z22" s="7"/>
    </row>
    <row r="23" spans="1:26" ht="15.75" x14ac:dyDescent="0.25">
      <c r="A23" s="5" t="s">
        <v>1074</v>
      </c>
      <c r="B23" s="4" t="s">
        <v>149</v>
      </c>
      <c r="C23" s="4" t="s">
        <v>39</v>
      </c>
      <c r="D23" s="121">
        <v>54</v>
      </c>
      <c r="E23" s="4" t="s">
        <v>4</v>
      </c>
      <c r="F23" s="64" t="s">
        <v>4</v>
      </c>
      <c r="G23" s="23" t="s">
        <v>92</v>
      </c>
      <c r="H23" s="11">
        <v>46147</v>
      </c>
      <c r="J23" t="s">
        <v>46</v>
      </c>
      <c r="K23" t="s">
        <v>165</v>
      </c>
      <c r="L23" s="1">
        <v>332.63</v>
      </c>
      <c r="M23" s="3">
        <v>46316</v>
      </c>
      <c r="N23" t="s">
        <v>177</v>
      </c>
      <c r="O23" t="s">
        <v>184</v>
      </c>
      <c r="P23" t="s">
        <v>166</v>
      </c>
      <c r="Q23" t="s">
        <v>169</v>
      </c>
    </row>
    <row r="24" spans="1:26" ht="15.75" x14ac:dyDescent="0.25">
      <c r="A24" s="5" t="s">
        <v>1075</v>
      </c>
      <c r="B24" s="4" t="s">
        <v>148</v>
      </c>
      <c r="C24" s="4" t="s">
        <v>38</v>
      </c>
      <c r="D24" s="12">
        <v>140</v>
      </c>
      <c r="E24" s="4" t="s">
        <v>4</v>
      </c>
      <c r="F24" s="64" t="s">
        <v>4</v>
      </c>
      <c r="G24" s="23" t="s">
        <v>69</v>
      </c>
      <c r="H24" s="11">
        <v>46147</v>
      </c>
      <c r="J24" t="s">
        <v>47</v>
      </c>
      <c r="K24" t="s">
        <v>165</v>
      </c>
      <c r="L24" s="1">
        <v>245.75</v>
      </c>
      <c r="M24" s="3">
        <v>46284</v>
      </c>
      <c r="N24" t="s">
        <v>177</v>
      </c>
      <c r="O24" t="s">
        <v>184</v>
      </c>
      <c r="P24" t="s">
        <v>166</v>
      </c>
      <c r="Q24" t="s">
        <v>169</v>
      </c>
    </row>
    <row r="25" spans="1:26" ht="15.75" x14ac:dyDescent="0.25">
      <c r="A25" s="5" t="s">
        <v>567</v>
      </c>
      <c r="B25" s="4" t="s">
        <v>148</v>
      </c>
      <c r="C25" s="4" t="s">
        <v>38</v>
      </c>
      <c r="D25" s="12">
        <v>266.67</v>
      </c>
      <c r="E25" s="4" t="s">
        <v>4</v>
      </c>
      <c r="F25" s="64" t="s">
        <v>4</v>
      </c>
      <c r="G25" s="119"/>
      <c r="H25" s="11">
        <v>46147</v>
      </c>
      <c r="J25" t="s">
        <v>48</v>
      </c>
      <c r="K25" t="s">
        <v>167</v>
      </c>
      <c r="L25" s="1">
        <v>195.16</v>
      </c>
      <c r="M25" s="3">
        <v>46311</v>
      </c>
      <c r="N25" t="s">
        <v>177</v>
      </c>
      <c r="O25" t="s">
        <v>184</v>
      </c>
      <c r="P25" t="s">
        <v>166</v>
      </c>
      <c r="Q25" t="s">
        <v>169</v>
      </c>
      <c r="S25" s="7"/>
    </row>
    <row r="26" spans="1:26" ht="15.75" x14ac:dyDescent="0.25">
      <c r="A26" s="5" t="s">
        <v>1076</v>
      </c>
      <c r="B26" s="4" t="s">
        <v>148</v>
      </c>
      <c r="C26" s="4" t="s">
        <v>38</v>
      </c>
      <c r="D26" s="12">
        <v>600</v>
      </c>
      <c r="E26" s="4" t="s">
        <v>4</v>
      </c>
      <c r="F26" s="64" t="s">
        <v>4</v>
      </c>
      <c r="G26" s="23" t="s">
        <v>69</v>
      </c>
      <c r="H26" s="11">
        <v>46147</v>
      </c>
      <c r="J26" t="s">
        <v>51</v>
      </c>
      <c r="K26" t="s">
        <v>170</v>
      </c>
      <c r="L26" s="1">
        <v>267.10000000000002</v>
      </c>
      <c r="M26" s="3">
        <v>46232</v>
      </c>
      <c r="N26" t="s">
        <v>177</v>
      </c>
      <c r="O26" t="s">
        <v>184</v>
      </c>
      <c r="P26" t="s">
        <v>166</v>
      </c>
      <c r="Q26" t="s">
        <v>169</v>
      </c>
    </row>
    <row r="27" spans="1:26" ht="15.75" x14ac:dyDescent="0.25">
      <c r="A27" s="5" t="s">
        <v>1021</v>
      </c>
      <c r="B27" s="4" t="s">
        <v>148</v>
      </c>
      <c r="C27" s="4" t="s">
        <v>38</v>
      </c>
      <c r="D27" s="14">
        <v>-343.67</v>
      </c>
      <c r="E27" s="4" t="s">
        <v>4</v>
      </c>
      <c r="F27" s="64" t="s">
        <v>4</v>
      </c>
      <c r="G27" s="23" t="s">
        <v>69</v>
      </c>
      <c r="H27" s="11">
        <v>46147</v>
      </c>
      <c r="J27" t="s">
        <v>52</v>
      </c>
      <c r="K27" t="s">
        <v>170</v>
      </c>
      <c r="L27" s="1">
        <v>210.78</v>
      </c>
      <c r="M27" s="3">
        <v>46196</v>
      </c>
      <c r="N27" t="s">
        <v>178</v>
      </c>
      <c r="O27" t="s">
        <v>183</v>
      </c>
      <c r="P27" t="s">
        <v>172</v>
      </c>
      <c r="Q27" t="s">
        <v>169</v>
      </c>
    </row>
    <row r="28" spans="1:26" ht="15.75" x14ac:dyDescent="0.25">
      <c r="A28" s="5" t="s">
        <v>1077</v>
      </c>
      <c r="B28" s="4" t="s">
        <v>148</v>
      </c>
      <c r="C28" s="4" t="s">
        <v>38</v>
      </c>
      <c r="D28" s="12">
        <v>135.33000000000001</v>
      </c>
      <c r="E28" s="4" t="s">
        <v>4</v>
      </c>
      <c r="F28" s="64" t="s">
        <v>4</v>
      </c>
      <c r="G28" s="23" t="s">
        <v>69</v>
      </c>
      <c r="H28" s="11">
        <v>46148</v>
      </c>
      <c r="J28" t="s">
        <v>54</v>
      </c>
      <c r="K28" t="s">
        <v>170</v>
      </c>
      <c r="L28" s="1">
        <v>187.73</v>
      </c>
      <c r="M28" s="3">
        <v>46145</v>
      </c>
      <c r="N28" t="s">
        <v>176</v>
      </c>
      <c r="O28" t="s">
        <v>183</v>
      </c>
      <c r="Q28" t="s">
        <v>169</v>
      </c>
    </row>
    <row r="29" spans="1:26" ht="15.75" x14ac:dyDescent="0.25">
      <c r="A29" s="5" t="s">
        <v>1080</v>
      </c>
      <c r="B29" s="4" t="s">
        <v>148</v>
      </c>
      <c r="C29" s="4" t="s">
        <v>38</v>
      </c>
      <c r="D29" s="12">
        <v>100</v>
      </c>
      <c r="E29" s="4" t="s">
        <v>4</v>
      </c>
      <c r="F29" s="64" t="s">
        <v>4</v>
      </c>
      <c r="G29" s="23" t="s">
        <v>69</v>
      </c>
      <c r="H29" s="11">
        <v>46148</v>
      </c>
      <c r="J29" t="s">
        <v>56</v>
      </c>
      <c r="K29" t="s">
        <v>173</v>
      </c>
      <c r="L29" s="1">
        <v>273.82</v>
      </c>
      <c r="M29" s="3">
        <v>46226</v>
      </c>
      <c r="N29" t="s">
        <v>109</v>
      </c>
      <c r="O29" t="s">
        <v>183</v>
      </c>
      <c r="P29" t="s">
        <v>174</v>
      </c>
      <c r="Q29" t="s">
        <v>169</v>
      </c>
    </row>
    <row r="30" spans="1:26" ht="15.75" x14ac:dyDescent="0.25">
      <c r="A30" s="5" t="s">
        <v>1081</v>
      </c>
      <c r="B30" s="4" t="s">
        <v>148</v>
      </c>
      <c r="C30" s="4" t="s">
        <v>38</v>
      </c>
      <c r="D30" s="12">
        <v>35</v>
      </c>
      <c r="E30" s="4" t="s">
        <v>4</v>
      </c>
      <c r="F30" s="64" t="s">
        <v>4</v>
      </c>
      <c r="G30" s="23" t="s">
        <v>69</v>
      </c>
      <c r="H30" s="11">
        <v>46148</v>
      </c>
      <c r="J30" t="s">
        <v>59</v>
      </c>
      <c r="K30" t="s">
        <v>167</v>
      </c>
      <c r="L30" s="1">
        <v>263.5</v>
      </c>
      <c r="M30" s="3">
        <v>46319</v>
      </c>
      <c r="N30" t="s">
        <v>177</v>
      </c>
      <c r="O30" t="s">
        <v>184</v>
      </c>
      <c r="P30" t="s">
        <v>166</v>
      </c>
      <c r="Q30" t="s">
        <v>169</v>
      </c>
    </row>
    <row r="31" spans="1:26" ht="15.75" x14ac:dyDescent="0.25">
      <c r="A31" s="5" t="s">
        <v>1082</v>
      </c>
      <c r="B31" s="4" t="s">
        <v>148</v>
      </c>
      <c r="C31" s="4" t="s">
        <v>38</v>
      </c>
      <c r="D31" s="12">
        <v>150</v>
      </c>
      <c r="E31" s="4" t="s">
        <v>4</v>
      </c>
      <c r="F31" s="64" t="s">
        <v>4</v>
      </c>
      <c r="G31" s="23" t="s">
        <v>69</v>
      </c>
      <c r="H31" s="11">
        <v>46148</v>
      </c>
      <c r="J31" t="s">
        <v>60</v>
      </c>
      <c r="K31" t="s">
        <v>170</v>
      </c>
      <c r="L31" s="1">
        <v>282.75</v>
      </c>
      <c r="M31" s="3">
        <v>46263</v>
      </c>
      <c r="N31" t="s">
        <v>177</v>
      </c>
      <c r="O31" t="s">
        <v>184</v>
      </c>
      <c r="P31" s="40" t="s">
        <v>166</v>
      </c>
      <c r="Q31" t="s">
        <v>169</v>
      </c>
    </row>
    <row r="32" spans="1:26" ht="15.75" x14ac:dyDescent="0.25">
      <c r="A32" s="5" t="s">
        <v>1083</v>
      </c>
      <c r="B32" s="4" t="s">
        <v>148</v>
      </c>
      <c r="C32" s="4" t="s">
        <v>38</v>
      </c>
      <c r="D32" s="12">
        <v>35</v>
      </c>
      <c r="E32" s="4" t="s">
        <v>4</v>
      </c>
      <c r="F32" s="64" t="s">
        <v>4</v>
      </c>
      <c r="G32" s="23" t="s">
        <v>69</v>
      </c>
      <c r="H32" s="11">
        <v>46149</v>
      </c>
      <c r="J32" t="s">
        <v>62</v>
      </c>
      <c r="K32" t="s">
        <v>179</v>
      </c>
      <c r="L32" s="1">
        <v>601.11</v>
      </c>
      <c r="M32" s="3">
        <v>46205</v>
      </c>
      <c r="N32" t="s">
        <v>180</v>
      </c>
      <c r="O32" t="s">
        <v>183</v>
      </c>
      <c r="P32" t="s">
        <v>174</v>
      </c>
      <c r="Q32" t="s">
        <v>171</v>
      </c>
    </row>
    <row r="33" spans="1:19" ht="15.75" x14ac:dyDescent="0.25">
      <c r="A33" s="5" t="s">
        <v>1084</v>
      </c>
      <c r="B33" s="4" t="s">
        <v>15</v>
      </c>
      <c r="C33" s="4" t="s">
        <v>15</v>
      </c>
      <c r="D33" s="12">
        <v>53.33</v>
      </c>
      <c r="E33" s="4" t="s">
        <v>4</v>
      </c>
      <c r="F33" s="64" t="s">
        <v>4</v>
      </c>
      <c r="G33" s="23"/>
      <c r="H33" s="11">
        <v>46148</v>
      </c>
      <c r="J33" t="s">
        <v>63</v>
      </c>
      <c r="K33" t="s">
        <v>173</v>
      </c>
      <c r="L33" s="1">
        <v>252.04</v>
      </c>
      <c r="M33" s="3">
        <v>46394</v>
      </c>
      <c r="N33" t="s">
        <v>177</v>
      </c>
      <c r="O33" t="s">
        <v>183</v>
      </c>
      <c r="P33" t="s">
        <v>166</v>
      </c>
      <c r="Q33" t="s">
        <v>175</v>
      </c>
    </row>
    <row r="34" spans="1:19" ht="15.75" x14ac:dyDescent="0.25">
      <c r="A34" s="5" t="s">
        <v>1085</v>
      </c>
      <c r="B34" s="4" t="s">
        <v>148</v>
      </c>
      <c r="C34" s="4" t="s">
        <v>38</v>
      </c>
      <c r="D34" s="12">
        <v>35</v>
      </c>
      <c r="E34" s="4" t="s">
        <v>4</v>
      </c>
      <c r="F34" s="64" t="s">
        <v>4</v>
      </c>
      <c r="G34" s="23"/>
      <c r="H34" s="11">
        <v>46149</v>
      </c>
      <c r="J34" t="s">
        <v>64</v>
      </c>
      <c r="K34" t="s">
        <v>170</v>
      </c>
      <c r="L34" s="1">
        <v>208.96</v>
      </c>
      <c r="M34" s="3">
        <v>46320</v>
      </c>
      <c r="N34" t="s">
        <v>177</v>
      </c>
      <c r="O34" t="s">
        <v>184</v>
      </c>
      <c r="P34" t="s">
        <v>166</v>
      </c>
      <c r="Q34" t="s">
        <v>171</v>
      </c>
    </row>
    <row r="35" spans="1:19" ht="15.75" x14ac:dyDescent="0.25">
      <c r="A35" s="5" t="s">
        <v>1086</v>
      </c>
      <c r="B35" s="4" t="s">
        <v>148</v>
      </c>
      <c r="C35" s="4" t="s">
        <v>38</v>
      </c>
      <c r="D35" s="12">
        <v>35</v>
      </c>
      <c r="E35" s="4" t="s">
        <v>4</v>
      </c>
      <c r="F35" s="64" t="s">
        <v>4</v>
      </c>
      <c r="G35" s="119"/>
      <c r="H35" s="11">
        <v>46148</v>
      </c>
      <c r="J35" t="s">
        <v>67</v>
      </c>
      <c r="K35" t="s">
        <v>167</v>
      </c>
      <c r="L35" s="1">
        <v>351.26</v>
      </c>
      <c r="M35" s="3">
        <v>46186</v>
      </c>
      <c r="N35" t="s">
        <v>178</v>
      </c>
      <c r="O35" t="s">
        <v>183</v>
      </c>
      <c r="P35" t="s">
        <v>172</v>
      </c>
      <c r="Q35" t="s">
        <v>171</v>
      </c>
    </row>
    <row r="36" spans="1:19" ht="15.75" x14ac:dyDescent="0.25">
      <c r="A36" s="5" t="s">
        <v>1087</v>
      </c>
      <c r="B36" s="4" t="s">
        <v>148</v>
      </c>
      <c r="C36" s="4" t="s">
        <v>38</v>
      </c>
      <c r="D36" s="12">
        <v>35</v>
      </c>
      <c r="E36" s="4" t="s">
        <v>4</v>
      </c>
      <c r="F36" s="64" t="s">
        <v>4</v>
      </c>
      <c r="G36" s="119"/>
      <c r="H36" s="11">
        <v>46149</v>
      </c>
      <c r="J36" t="s">
        <v>113</v>
      </c>
      <c r="L36" s="1">
        <v>262.69</v>
      </c>
      <c r="M36" s="3"/>
      <c r="N36" t="s">
        <v>109</v>
      </c>
    </row>
    <row r="37" spans="1:19" ht="15.75" x14ac:dyDescent="0.25">
      <c r="A37" s="5" t="s">
        <v>1003</v>
      </c>
      <c r="B37" s="4" t="s">
        <v>148</v>
      </c>
      <c r="C37" s="4" t="s">
        <v>38</v>
      </c>
      <c r="D37" s="12">
        <v>200</v>
      </c>
      <c r="E37" s="4" t="s">
        <v>4</v>
      </c>
      <c r="F37" s="64" t="s">
        <v>4</v>
      </c>
      <c r="G37" s="119"/>
      <c r="H37" s="11">
        <v>46148</v>
      </c>
    </row>
    <row r="38" spans="1:19" ht="15.75" x14ac:dyDescent="0.25">
      <c r="A38" s="5" t="s">
        <v>1088</v>
      </c>
      <c r="B38" s="4" t="s">
        <v>148</v>
      </c>
      <c r="C38" s="4" t="s">
        <v>38</v>
      </c>
      <c r="D38" s="12">
        <v>300</v>
      </c>
      <c r="E38" s="4" t="s">
        <v>4</v>
      </c>
      <c r="F38" s="64" t="s">
        <v>4</v>
      </c>
      <c r="G38" s="119"/>
      <c r="H38" s="11">
        <v>46149</v>
      </c>
    </row>
    <row r="39" spans="1:19" ht="15.75" x14ac:dyDescent="0.25">
      <c r="A39" s="5" t="s">
        <v>1089</v>
      </c>
      <c r="B39" s="4" t="s">
        <v>15</v>
      </c>
      <c r="C39" s="4" t="s">
        <v>15</v>
      </c>
      <c r="D39" s="121">
        <v>1300</v>
      </c>
      <c r="E39" s="4" t="s">
        <v>4</v>
      </c>
      <c r="F39" s="64" t="s">
        <v>4</v>
      </c>
      <c r="G39" s="119"/>
      <c r="H39" s="11">
        <v>46149</v>
      </c>
    </row>
    <row r="40" spans="1:19" ht="15.75" x14ac:dyDescent="0.25">
      <c r="A40" s="5" t="s">
        <v>1096</v>
      </c>
      <c r="B40" s="4" t="s">
        <v>15</v>
      </c>
      <c r="C40" s="4" t="s">
        <v>15</v>
      </c>
      <c r="D40" s="12">
        <v>700</v>
      </c>
      <c r="E40" s="4" t="s">
        <v>4</v>
      </c>
      <c r="F40" s="64" t="s">
        <v>4</v>
      </c>
      <c r="G40" s="119"/>
      <c r="H40" s="11">
        <v>46149</v>
      </c>
    </row>
    <row r="41" spans="1:19" ht="15.75" x14ac:dyDescent="0.25">
      <c r="A41" s="5" t="s">
        <v>1090</v>
      </c>
      <c r="B41" s="4" t="s">
        <v>15</v>
      </c>
      <c r="C41" s="4" t="s">
        <v>15</v>
      </c>
      <c r="D41" s="12">
        <v>650</v>
      </c>
      <c r="E41" s="4" t="s">
        <v>4</v>
      </c>
      <c r="F41" s="64" t="s">
        <v>4</v>
      </c>
      <c r="G41" s="119"/>
      <c r="H41" s="11">
        <v>46149</v>
      </c>
    </row>
    <row r="42" spans="1:19" ht="16.5" customHeight="1" x14ac:dyDescent="0.3">
      <c r="A42" s="5" t="s">
        <v>1091</v>
      </c>
      <c r="B42" s="4" t="s">
        <v>15</v>
      </c>
      <c r="C42" s="4" t="s">
        <v>15</v>
      </c>
      <c r="D42" s="12">
        <v>350</v>
      </c>
      <c r="E42" s="4" t="s">
        <v>4</v>
      </c>
      <c r="F42" s="64" t="s">
        <v>4</v>
      </c>
      <c r="G42" s="119"/>
      <c r="H42" s="11">
        <v>46149</v>
      </c>
      <c r="J42" s="136" t="s">
        <v>145</v>
      </c>
      <c r="K42" s="136"/>
      <c r="L42" s="136"/>
      <c r="M42" s="136"/>
      <c r="N42" s="136"/>
      <c r="O42" s="136"/>
      <c r="P42" s="136"/>
      <c r="Q42" s="136"/>
      <c r="R42" s="136"/>
      <c r="S42" s="136"/>
    </row>
    <row r="43" spans="1:19" ht="15.75" x14ac:dyDescent="0.25">
      <c r="A43" s="5" t="s">
        <v>1092</v>
      </c>
      <c r="B43" s="4" t="s">
        <v>15</v>
      </c>
      <c r="C43" s="4" t="s">
        <v>15</v>
      </c>
      <c r="D43" s="12">
        <v>250</v>
      </c>
      <c r="E43" s="4" t="s">
        <v>4</v>
      </c>
      <c r="F43" s="64" t="s">
        <v>4</v>
      </c>
      <c r="G43" s="119"/>
      <c r="H43" s="11">
        <v>46149</v>
      </c>
      <c r="J43" t="s">
        <v>129</v>
      </c>
      <c r="K43" t="s">
        <v>126</v>
      </c>
      <c r="L43" t="s">
        <v>124</v>
      </c>
      <c r="M43" t="s">
        <v>127</v>
      </c>
      <c r="N43" t="s">
        <v>123</v>
      </c>
      <c r="O43" t="s">
        <v>122</v>
      </c>
      <c r="P43" t="s">
        <v>153</v>
      </c>
      <c r="Q43" t="s">
        <v>128</v>
      </c>
      <c r="R43" t="s">
        <v>39</v>
      </c>
      <c r="S43" t="s">
        <v>125</v>
      </c>
    </row>
    <row r="44" spans="1:19" ht="15.75" x14ac:dyDescent="0.25">
      <c r="A44" s="5" t="s">
        <v>1093</v>
      </c>
      <c r="B44" s="4" t="s">
        <v>15</v>
      </c>
      <c r="C44" s="4" t="s">
        <v>15</v>
      </c>
      <c r="D44" s="12">
        <v>600</v>
      </c>
      <c r="E44" s="4" t="s">
        <v>4</v>
      </c>
      <c r="F44" s="64" t="s">
        <v>4</v>
      </c>
      <c r="G44" s="119"/>
      <c r="H44" s="11">
        <v>46149</v>
      </c>
      <c r="J44" t="s">
        <v>130</v>
      </c>
      <c r="K44" s="1"/>
      <c r="L44" s="1"/>
      <c r="M44" s="1"/>
      <c r="N44" s="1"/>
      <c r="O44" s="1"/>
      <c r="P44" s="1"/>
      <c r="Q44" s="1"/>
      <c r="R44" s="1"/>
      <c r="S44" s="1"/>
    </row>
    <row r="45" spans="1:19" ht="15.75" x14ac:dyDescent="0.25">
      <c r="A45" s="5" t="s">
        <v>1095</v>
      </c>
      <c r="B45" s="4" t="s">
        <v>15</v>
      </c>
      <c r="C45" s="4" t="s">
        <v>15</v>
      </c>
      <c r="D45" s="121">
        <v>100</v>
      </c>
      <c r="E45" s="4" t="s">
        <v>4</v>
      </c>
      <c r="F45" s="64" t="s">
        <v>4</v>
      </c>
      <c r="G45" s="119"/>
      <c r="H45" s="120">
        <v>46149</v>
      </c>
      <c r="J45" t="s">
        <v>133</v>
      </c>
      <c r="K45" s="1"/>
      <c r="L45" s="1"/>
      <c r="M45" s="1"/>
      <c r="N45" s="1"/>
      <c r="O45" s="1"/>
      <c r="P45" s="1"/>
      <c r="Q45" s="1"/>
      <c r="R45" s="1"/>
      <c r="S45" s="1"/>
    </row>
    <row r="46" spans="1:19" ht="15.75" x14ac:dyDescent="0.25">
      <c r="A46" s="5" t="s">
        <v>1097</v>
      </c>
      <c r="B46" s="4" t="s">
        <v>15</v>
      </c>
      <c r="C46" s="4" t="s">
        <v>15</v>
      </c>
      <c r="D46" s="43">
        <v>600</v>
      </c>
      <c r="E46" s="4" t="s">
        <v>4</v>
      </c>
      <c r="F46" s="64" t="s">
        <v>4</v>
      </c>
      <c r="G46" s="119"/>
      <c r="H46" s="11">
        <v>46149</v>
      </c>
      <c r="J46" t="s">
        <v>134</v>
      </c>
      <c r="K46" s="1"/>
      <c r="L46" s="1"/>
      <c r="M46" s="1"/>
      <c r="N46" s="1"/>
      <c r="O46" s="1"/>
      <c r="P46" s="1"/>
      <c r="Q46" s="1"/>
      <c r="R46" s="1"/>
      <c r="S46" s="1"/>
    </row>
    <row r="47" spans="1:19" ht="15.75" x14ac:dyDescent="0.25">
      <c r="A47" s="5" t="s">
        <v>877</v>
      </c>
      <c r="B47" s="4" t="s">
        <v>148</v>
      </c>
      <c r="C47" s="4" t="s">
        <v>38</v>
      </c>
      <c r="D47" s="121">
        <v>250</v>
      </c>
      <c r="E47" s="4" t="s">
        <v>4</v>
      </c>
      <c r="F47" s="64" t="s">
        <v>4</v>
      </c>
      <c r="G47" s="119"/>
      <c r="H47" s="120">
        <v>46149</v>
      </c>
      <c r="J47" t="s">
        <v>137</v>
      </c>
      <c r="K47" s="1"/>
      <c r="L47" s="1"/>
      <c r="M47" s="1"/>
      <c r="N47" s="1"/>
      <c r="O47" s="1"/>
      <c r="P47" s="1"/>
      <c r="Q47" s="1"/>
      <c r="R47" s="1"/>
      <c r="S47" s="1"/>
    </row>
    <row r="48" spans="1:19" ht="15.75" x14ac:dyDescent="0.25">
      <c r="A48" s="5" t="s">
        <v>913</v>
      </c>
      <c r="B48" s="4" t="s">
        <v>152</v>
      </c>
      <c r="C48" s="4" t="s">
        <v>38</v>
      </c>
      <c r="D48" s="121">
        <v>44</v>
      </c>
      <c r="E48" s="4" t="s">
        <v>4</v>
      </c>
      <c r="F48" s="64" t="s">
        <v>4</v>
      </c>
      <c r="G48" s="119"/>
      <c r="H48" s="11">
        <v>46149</v>
      </c>
      <c r="J48" t="s">
        <v>135</v>
      </c>
      <c r="K48" s="1"/>
      <c r="L48" s="1"/>
      <c r="M48" s="1"/>
      <c r="N48" s="1"/>
      <c r="O48" s="1"/>
      <c r="P48" s="1"/>
      <c r="Q48" s="1"/>
      <c r="R48" s="1"/>
      <c r="S48" s="1"/>
    </row>
    <row r="49" spans="1:19" ht="15.75" x14ac:dyDescent="0.25">
      <c r="A49" s="5" t="s">
        <v>958</v>
      </c>
      <c r="B49" s="4" t="s">
        <v>148</v>
      </c>
      <c r="C49" s="4" t="s">
        <v>38</v>
      </c>
      <c r="D49" s="121">
        <v>129</v>
      </c>
      <c r="E49" s="4" t="s">
        <v>4</v>
      </c>
      <c r="F49" s="64" t="s">
        <v>4</v>
      </c>
      <c r="G49" s="119"/>
      <c r="H49" s="120">
        <v>46149</v>
      </c>
      <c r="J49" t="s">
        <v>136</v>
      </c>
      <c r="K49" s="1"/>
      <c r="L49" s="1"/>
      <c r="M49" s="1"/>
      <c r="N49" s="1"/>
      <c r="O49" s="1"/>
      <c r="P49" s="1"/>
      <c r="Q49" s="1"/>
      <c r="R49" s="1"/>
      <c r="S49" s="1"/>
    </row>
    <row r="50" spans="1:19" ht="15.75" x14ac:dyDescent="0.25">
      <c r="A50" s="5" t="s">
        <v>18</v>
      </c>
      <c r="B50" s="4" t="s">
        <v>148</v>
      </c>
      <c r="C50" s="4" t="s">
        <v>38</v>
      </c>
      <c r="D50" s="121">
        <v>95.87</v>
      </c>
      <c r="E50" s="4" t="s">
        <v>4</v>
      </c>
      <c r="F50" s="64" t="s">
        <v>4</v>
      </c>
      <c r="G50" s="23" t="s">
        <v>92</v>
      </c>
      <c r="H50" s="120">
        <v>46149</v>
      </c>
      <c r="J50" t="s">
        <v>151</v>
      </c>
      <c r="K50" s="1"/>
      <c r="L50" s="1"/>
      <c r="M50" s="1"/>
      <c r="N50" s="1"/>
      <c r="O50" s="1"/>
      <c r="P50" s="1"/>
      <c r="Q50" s="1"/>
      <c r="R50" s="1"/>
      <c r="S50" s="1"/>
    </row>
    <row r="51" spans="1:19" ht="15.75" x14ac:dyDescent="0.25">
      <c r="A51" s="5" t="s">
        <v>1094</v>
      </c>
      <c r="B51" s="4" t="s">
        <v>148</v>
      </c>
      <c r="C51" s="4" t="s">
        <v>39</v>
      </c>
      <c r="D51" s="121">
        <f>35*4</f>
        <v>140</v>
      </c>
      <c r="E51" s="4" t="s">
        <v>4</v>
      </c>
      <c r="F51" s="64" t="s">
        <v>4</v>
      </c>
      <c r="G51" s="119"/>
      <c r="H51" s="120">
        <v>46149</v>
      </c>
      <c r="J51" t="s">
        <v>138</v>
      </c>
      <c r="K51" s="1"/>
      <c r="L51" s="1"/>
      <c r="M51" s="1"/>
      <c r="N51" s="1"/>
      <c r="O51" s="1"/>
      <c r="P51" s="1"/>
      <c r="Q51" s="1"/>
      <c r="R51" s="1"/>
      <c r="S51" s="1"/>
    </row>
    <row r="52" spans="1:19" ht="15.75" x14ac:dyDescent="0.25">
      <c r="A52" s="5" t="s">
        <v>1098</v>
      </c>
      <c r="B52" s="4" t="s">
        <v>148</v>
      </c>
      <c r="C52" s="4" t="s">
        <v>38</v>
      </c>
      <c r="D52" s="12">
        <v>200</v>
      </c>
      <c r="E52" s="4" t="s">
        <v>4</v>
      </c>
      <c r="F52" s="64" t="s">
        <v>4</v>
      </c>
      <c r="G52" s="23"/>
      <c r="H52" s="11">
        <v>46149</v>
      </c>
      <c r="J52" t="s">
        <v>84</v>
      </c>
      <c r="K52" s="1"/>
      <c r="L52" s="1"/>
      <c r="M52" s="1"/>
      <c r="N52" s="1"/>
      <c r="O52" s="1"/>
      <c r="P52" s="1"/>
      <c r="Q52" s="1"/>
      <c r="R52" s="1"/>
      <c r="S52" s="1"/>
    </row>
    <row r="53" spans="1:19" ht="15.75" x14ac:dyDescent="0.25">
      <c r="A53" s="5" t="s">
        <v>1099</v>
      </c>
      <c r="B53" s="4" t="s">
        <v>148</v>
      </c>
      <c r="C53" s="4" t="s">
        <v>39</v>
      </c>
      <c r="D53" s="121">
        <v>70</v>
      </c>
      <c r="E53" s="4" t="s">
        <v>4</v>
      </c>
      <c r="F53" s="64" t="s">
        <v>4</v>
      </c>
      <c r="G53" s="23"/>
      <c r="H53" s="11">
        <v>46150</v>
      </c>
      <c r="J53" t="s">
        <v>139</v>
      </c>
      <c r="K53" s="1"/>
      <c r="L53" s="1"/>
      <c r="M53" s="1"/>
      <c r="N53" s="1"/>
      <c r="O53" s="1"/>
      <c r="P53" s="1"/>
      <c r="Q53" s="1"/>
      <c r="R53" s="1"/>
      <c r="S53" s="1"/>
    </row>
    <row r="54" spans="1:19" ht="15.75" x14ac:dyDescent="0.25">
      <c r="A54" s="5" t="s">
        <v>21</v>
      </c>
      <c r="B54" s="4" t="s">
        <v>137</v>
      </c>
      <c r="C54" s="4" t="s">
        <v>38</v>
      </c>
      <c r="D54" s="12">
        <v>1621</v>
      </c>
      <c r="E54" s="4" t="s">
        <v>4</v>
      </c>
      <c r="F54" s="64" t="s">
        <v>4</v>
      </c>
      <c r="G54" s="119"/>
      <c r="H54" s="11">
        <v>46150</v>
      </c>
      <c r="J54" t="s">
        <v>190</v>
      </c>
      <c r="K54" s="1"/>
      <c r="L54" s="1"/>
      <c r="M54" s="1"/>
      <c r="N54" s="1"/>
      <c r="O54" s="1"/>
      <c r="P54" s="1"/>
      <c r="Q54" s="1"/>
      <c r="R54" s="1"/>
      <c r="S54" s="1"/>
    </row>
    <row r="55" spans="1:19" ht="15.75" x14ac:dyDescent="0.25">
      <c r="A55" s="5" t="s">
        <v>22</v>
      </c>
      <c r="B55" s="4" t="s">
        <v>137</v>
      </c>
      <c r="C55" s="4" t="s">
        <v>38</v>
      </c>
      <c r="D55" s="12">
        <v>1621</v>
      </c>
      <c r="E55" s="4" t="s">
        <v>4</v>
      </c>
      <c r="F55" s="64" t="s">
        <v>4</v>
      </c>
      <c r="G55" s="119"/>
      <c r="H55" s="11">
        <v>46150</v>
      </c>
      <c r="J55" t="s">
        <v>140</v>
      </c>
      <c r="K55" s="1"/>
      <c r="L55" s="1"/>
      <c r="M55" s="1"/>
      <c r="N55" s="1"/>
      <c r="O55" s="1"/>
      <c r="P55" s="1"/>
      <c r="Q55" s="1"/>
      <c r="R55" s="1"/>
      <c r="S55" s="1"/>
    </row>
    <row r="56" spans="1:19" ht="15" customHeight="1" x14ac:dyDescent="0.25">
      <c r="A56" s="5" t="s">
        <v>23</v>
      </c>
      <c r="B56" s="4" t="s">
        <v>137</v>
      </c>
      <c r="C56" s="4" t="s">
        <v>38</v>
      </c>
      <c r="D56" s="12">
        <v>1621</v>
      </c>
      <c r="E56" s="4" t="s">
        <v>4</v>
      </c>
      <c r="F56" s="64" t="s">
        <v>4</v>
      </c>
      <c r="G56" s="119"/>
      <c r="H56" s="11">
        <v>46150</v>
      </c>
      <c r="J56" t="s">
        <v>141</v>
      </c>
      <c r="K56" s="1"/>
      <c r="L56" s="1"/>
      <c r="M56" s="1"/>
      <c r="N56" s="1"/>
      <c r="O56" s="1"/>
      <c r="P56" s="1"/>
      <c r="Q56" s="1"/>
      <c r="R56" s="1"/>
      <c r="S56" s="1"/>
    </row>
    <row r="57" spans="1:19" ht="15.75" x14ac:dyDescent="0.25">
      <c r="A57" s="5" t="s">
        <v>24</v>
      </c>
      <c r="B57" s="4" t="s">
        <v>137</v>
      </c>
      <c r="C57" s="4" t="s">
        <v>38</v>
      </c>
      <c r="D57" s="12">
        <v>1621</v>
      </c>
      <c r="E57" s="4" t="s">
        <v>4</v>
      </c>
      <c r="F57" s="64" t="s">
        <v>4</v>
      </c>
      <c r="G57" s="119"/>
      <c r="H57" s="11">
        <v>46150</v>
      </c>
      <c r="J57" t="s">
        <v>142</v>
      </c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 x14ac:dyDescent="0.25">
      <c r="A58" s="5" t="s">
        <v>25</v>
      </c>
      <c r="B58" s="4" t="s">
        <v>137</v>
      </c>
      <c r="C58" s="4" t="s">
        <v>38</v>
      </c>
      <c r="D58" s="12">
        <v>2550</v>
      </c>
      <c r="E58" s="4" t="s">
        <v>4</v>
      </c>
      <c r="F58" s="64" t="s">
        <v>4</v>
      </c>
      <c r="G58" s="119"/>
      <c r="H58" s="11">
        <v>46150</v>
      </c>
      <c r="J58" t="s">
        <v>143</v>
      </c>
      <c r="K58" s="1"/>
      <c r="L58" s="1"/>
      <c r="M58" s="1"/>
      <c r="N58" s="1"/>
      <c r="O58" s="1"/>
      <c r="P58" s="1"/>
      <c r="Q58" s="1"/>
      <c r="R58" s="1"/>
      <c r="S58" s="1"/>
    </row>
    <row r="59" spans="1:19" ht="15.75" x14ac:dyDescent="0.25">
      <c r="A59" s="5" t="s">
        <v>900</v>
      </c>
      <c r="B59" s="4" t="s">
        <v>137</v>
      </c>
      <c r="C59" s="4" t="s">
        <v>39</v>
      </c>
      <c r="D59" s="13">
        <v>175</v>
      </c>
      <c r="E59" s="4" t="s">
        <v>4</v>
      </c>
      <c r="F59" s="64" t="s">
        <v>4</v>
      </c>
      <c r="G59" s="119"/>
      <c r="H59" s="11">
        <v>46150</v>
      </c>
      <c r="J59" t="s">
        <v>201</v>
      </c>
      <c r="K59" s="1"/>
      <c r="L59" s="1"/>
      <c r="M59" s="1"/>
      <c r="N59" s="1"/>
      <c r="O59" s="1"/>
      <c r="P59" s="1"/>
      <c r="Q59" s="1"/>
      <c r="R59" s="1"/>
      <c r="S59" s="1"/>
    </row>
    <row r="60" spans="1:19" ht="15.75" x14ac:dyDescent="0.25">
      <c r="A60" s="5" t="s">
        <v>20</v>
      </c>
      <c r="B60" s="4" t="s">
        <v>148</v>
      </c>
      <c r="C60" s="4" t="s">
        <v>39</v>
      </c>
      <c r="D60" s="121">
        <v>3892.19</v>
      </c>
      <c r="E60" s="4" t="s">
        <v>4</v>
      </c>
      <c r="F60" s="64" t="s">
        <v>4</v>
      </c>
      <c r="G60" s="119"/>
      <c r="H60" s="120">
        <v>46150</v>
      </c>
      <c r="K60" s="1"/>
      <c r="L60" s="1"/>
      <c r="M60" s="1"/>
      <c r="N60" s="1"/>
      <c r="O60" s="1"/>
      <c r="P60" s="1"/>
      <c r="Q60" s="1"/>
      <c r="R60" s="1"/>
      <c r="S60" s="1"/>
    </row>
    <row r="61" spans="1:19" ht="15.75" x14ac:dyDescent="0.25">
      <c r="A61" s="5" t="s">
        <v>19</v>
      </c>
      <c r="B61" s="4" t="s">
        <v>148</v>
      </c>
      <c r="C61" s="4" t="s">
        <v>39</v>
      </c>
      <c r="D61" s="121">
        <v>1429.12</v>
      </c>
      <c r="E61" s="4" t="s">
        <v>4</v>
      </c>
      <c r="F61" s="64" t="s">
        <v>4</v>
      </c>
      <c r="G61" s="119"/>
      <c r="H61" s="120">
        <v>46150</v>
      </c>
      <c r="J61" t="s">
        <v>0</v>
      </c>
      <c r="K61" s="1">
        <f t="shared" ref="K61:S61" si="2">SUM(K44:K60)</f>
        <v>0</v>
      </c>
      <c r="L61" s="1">
        <f t="shared" si="2"/>
        <v>0</v>
      </c>
      <c r="M61" s="1">
        <f t="shared" si="2"/>
        <v>0</v>
      </c>
      <c r="N61" s="1">
        <f t="shared" si="2"/>
        <v>0</v>
      </c>
      <c r="O61" s="1">
        <f t="shared" si="2"/>
        <v>0</v>
      </c>
      <c r="P61" s="1">
        <f t="shared" si="2"/>
        <v>0</v>
      </c>
      <c r="Q61" s="1">
        <f t="shared" si="2"/>
        <v>0</v>
      </c>
      <c r="R61" s="1">
        <f t="shared" si="2"/>
        <v>0</v>
      </c>
      <c r="S61" s="1">
        <f t="shared" si="2"/>
        <v>0</v>
      </c>
    </row>
    <row r="62" spans="1:19" ht="15.75" x14ac:dyDescent="0.25">
      <c r="A62" s="5" t="s">
        <v>1100</v>
      </c>
      <c r="B62" s="4" t="s">
        <v>148</v>
      </c>
      <c r="C62" s="4" t="s">
        <v>38</v>
      </c>
      <c r="D62" s="121">
        <v>507</v>
      </c>
      <c r="E62" s="4" t="s">
        <v>4</v>
      </c>
      <c r="F62" s="64" t="s">
        <v>4</v>
      </c>
      <c r="G62" s="119"/>
      <c r="H62" s="120">
        <v>46147</v>
      </c>
    </row>
    <row r="63" spans="1:19" ht="15.75" x14ac:dyDescent="0.25">
      <c r="A63" s="5" t="s">
        <v>1101</v>
      </c>
      <c r="B63" s="4" t="s">
        <v>148</v>
      </c>
      <c r="C63" s="4" t="s">
        <v>38</v>
      </c>
      <c r="D63" s="121">
        <f>16+16+16+15</f>
        <v>63</v>
      </c>
      <c r="E63" s="4" t="s">
        <v>4</v>
      </c>
      <c r="F63" s="64" t="s">
        <v>4</v>
      </c>
      <c r="G63" s="119"/>
      <c r="H63" s="120">
        <v>46150</v>
      </c>
    </row>
    <row r="64" spans="1:19" ht="15.75" x14ac:dyDescent="0.25">
      <c r="A64" s="5" t="s">
        <v>1102</v>
      </c>
      <c r="B64" s="4" t="s">
        <v>148</v>
      </c>
      <c r="C64" s="4" t="s">
        <v>38</v>
      </c>
      <c r="D64" s="121">
        <v>50.99</v>
      </c>
      <c r="E64" s="4" t="s">
        <v>4</v>
      </c>
      <c r="F64" s="64" t="s">
        <v>4</v>
      </c>
      <c r="G64" s="119"/>
      <c r="H64" s="120">
        <v>46150</v>
      </c>
    </row>
    <row r="65" spans="1:11" ht="15.75" x14ac:dyDescent="0.25">
      <c r="A65" s="5" t="s">
        <v>1103</v>
      </c>
      <c r="B65" s="4" t="s">
        <v>148</v>
      </c>
      <c r="C65" s="4" t="s">
        <v>38</v>
      </c>
      <c r="D65" s="121">
        <v>13</v>
      </c>
      <c r="E65" s="4" t="s">
        <v>4</v>
      </c>
      <c r="F65" s="64" t="s">
        <v>4</v>
      </c>
      <c r="G65" s="119"/>
      <c r="H65" s="120">
        <v>46150</v>
      </c>
      <c r="J65" s="26"/>
    </row>
    <row r="66" spans="1:11" ht="15.75" x14ac:dyDescent="0.25">
      <c r="A66" s="5" t="s">
        <v>1104</v>
      </c>
      <c r="B66" s="4" t="s">
        <v>15</v>
      </c>
      <c r="C66" s="4" t="s">
        <v>15</v>
      </c>
      <c r="D66" s="121">
        <v>150</v>
      </c>
      <c r="E66" s="4" t="s">
        <v>4</v>
      </c>
      <c r="F66" s="64" t="s">
        <v>4</v>
      </c>
      <c r="G66" s="119"/>
      <c r="H66" s="120">
        <v>46150</v>
      </c>
    </row>
    <row r="67" spans="1:11" ht="15.75" x14ac:dyDescent="0.25">
      <c r="A67" s="5" t="s">
        <v>1105</v>
      </c>
      <c r="B67" s="4" t="s">
        <v>15</v>
      </c>
      <c r="C67" s="4" t="s">
        <v>15</v>
      </c>
      <c r="D67" s="121">
        <v>300</v>
      </c>
      <c r="E67" s="4" t="s">
        <v>4</v>
      </c>
      <c r="F67" s="64" t="s">
        <v>4</v>
      </c>
      <c r="G67" s="119"/>
      <c r="H67" s="120">
        <v>46150</v>
      </c>
    </row>
    <row r="68" spans="1:11" ht="15.75" x14ac:dyDescent="0.25">
      <c r="A68" s="5" t="s">
        <v>1128</v>
      </c>
      <c r="B68" s="4" t="s">
        <v>15</v>
      </c>
      <c r="C68" s="4" t="s">
        <v>15</v>
      </c>
      <c r="D68" s="12">
        <v>500</v>
      </c>
      <c r="E68" s="4" t="s">
        <v>4</v>
      </c>
      <c r="F68" s="64" t="s">
        <v>4</v>
      </c>
      <c r="G68" s="23"/>
      <c r="H68" s="11">
        <v>46150</v>
      </c>
    </row>
    <row r="69" spans="1:11" ht="15.75" x14ac:dyDescent="0.25">
      <c r="A69" s="5" t="s">
        <v>1129</v>
      </c>
      <c r="B69" s="4" t="s">
        <v>15</v>
      </c>
      <c r="C69" s="4" t="s">
        <v>15</v>
      </c>
      <c r="D69" s="121">
        <v>550</v>
      </c>
      <c r="E69" s="4" t="s">
        <v>4</v>
      </c>
      <c r="F69" s="64" t="s">
        <v>4</v>
      </c>
      <c r="G69" s="119"/>
      <c r="H69" s="120">
        <v>46150</v>
      </c>
    </row>
    <row r="70" spans="1:11" ht="15.75" x14ac:dyDescent="0.25">
      <c r="A70" s="5" t="s">
        <v>1106</v>
      </c>
      <c r="B70" s="4" t="s">
        <v>15</v>
      </c>
      <c r="C70" s="4" t="s">
        <v>15</v>
      </c>
      <c r="D70" s="12">
        <v>150</v>
      </c>
      <c r="E70" s="4" t="s">
        <v>4</v>
      </c>
      <c r="F70" s="64" t="s">
        <v>4</v>
      </c>
      <c r="G70" s="119"/>
      <c r="H70" s="11">
        <v>46150</v>
      </c>
    </row>
    <row r="71" spans="1:11" ht="15.75" x14ac:dyDescent="0.25">
      <c r="A71" s="5" t="s">
        <v>1107</v>
      </c>
      <c r="B71" s="4" t="s">
        <v>15</v>
      </c>
      <c r="C71" s="4" t="s">
        <v>15</v>
      </c>
      <c r="D71" s="121">
        <f>150*8</f>
        <v>1200</v>
      </c>
      <c r="E71" s="4" t="s">
        <v>4</v>
      </c>
      <c r="F71" s="64" t="s">
        <v>4</v>
      </c>
      <c r="G71" s="23"/>
      <c r="H71" s="120">
        <v>46150</v>
      </c>
    </row>
    <row r="72" spans="1:11" ht="15.75" x14ac:dyDescent="0.25">
      <c r="A72" s="5" t="s">
        <v>1108</v>
      </c>
      <c r="B72" s="4" t="s">
        <v>15</v>
      </c>
      <c r="C72" s="4" t="s">
        <v>15</v>
      </c>
      <c r="D72" s="121">
        <f>4*150</f>
        <v>600</v>
      </c>
      <c r="E72" s="4" t="s">
        <v>4</v>
      </c>
      <c r="F72" s="64" t="s">
        <v>4</v>
      </c>
      <c r="G72" s="119"/>
      <c r="H72" s="120">
        <v>46150</v>
      </c>
      <c r="K72">
        <f>800/3</f>
        <v>266.66666666666669</v>
      </c>
    </row>
    <row r="73" spans="1:11" ht="15.75" x14ac:dyDescent="0.25">
      <c r="A73" s="5" t="s">
        <v>1110</v>
      </c>
      <c r="B73" s="4" t="s">
        <v>15</v>
      </c>
      <c r="C73" s="4" t="s">
        <v>15</v>
      </c>
      <c r="D73" s="121">
        <v>150</v>
      </c>
      <c r="E73" s="4" t="s">
        <v>4</v>
      </c>
      <c r="F73" s="64" t="s">
        <v>4</v>
      </c>
      <c r="G73" s="23"/>
      <c r="H73" s="120">
        <v>46150</v>
      </c>
    </row>
    <row r="74" spans="1:11" ht="15.75" x14ac:dyDescent="0.25">
      <c r="A74" s="5" t="s">
        <v>1109</v>
      </c>
      <c r="B74" s="4" t="s">
        <v>15</v>
      </c>
      <c r="C74" s="4" t="s">
        <v>15</v>
      </c>
      <c r="D74" s="12">
        <v>250</v>
      </c>
      <c r="E74" s="4" t="s">
        <v>4</v>
      </c>
      <c r="F74" s="64" t="s">
        <v>4</v>
      </c>
      <c r="G74" s="119"/>
      <c r="H74" s="11">
        <v>46150</v>
      </c>
    </row>
    <row r="75" spans="1:11" ht="15.75" x14ac:dyDescent="0.25">
      <c r="A75" s="5" t="s">
        <v>1111</v>
      </c>
      <c r="B75" s="4" t="s">
        <v>15</v>
      </c>
      <c r="C75" s="4" t="s">
        <v>15</v>
      </c>
      <c r="D75" s="12">
        <f>3*150</f>
        <v>450</v>
      </c>
      <c r="E75" s="4" t="s">
        <v>4</v>
      </c>
      <c r="F75" s="64" t="s">
        <v>4</v>
      </c>
      <c r="G75" s="119"/>
      <c r="H75" s="11">
        <v>46150</v>
      </c>
    </row>
    <row r="76" spans="1:11" ht="15.75" x14ac:dyDescent="0.25">
      <c r="A76" s="5" t="s">
        <v>1112</v>
      </c>
      <c r="B76" s="4" t="s">
        <v>15</v>
      </c>
      <c r="C76" s="4" t="s">
        <v>15</v>
      </c>
      <c r="D76" s="12">
        <v>150</v>
      </c>
      <c r="E76" s="4" t="s">
        <v>4</v>
      </c>
      <c r="F76" s="64" t="s">
        <v>4</v>
      </c>
      <c r="G76" s="23" t="s">
        <v>69</v>
      </c>
      <c r="H76" s="11">
        <v>46150</v>
      </c>
    </row>
    <row r="77" spans="1:11" ht="15.75" x14ac:dyDescent="0.25">
      <c r="A77" s="5" t="s">
        <v>1113</v>
      </c>
      <c r="B77" s="4" t="s">
        <v>15</v>
      </c>
      <c r="C77" s="4" t="s">
        <v>15</v>
      </c>
      <c r="D77" s="121">
        <f>150*3</f>
        <v>450</v>
      </c>
      <c r="E77" s="4" t="s">
        <v>4</v>
      </c>
      <c r="F77" s="64" t="s">
        <v>4</v>
      </c>
      <c r="G77" s="23"/>
      <c r="H77" s="120">
        <v>46150</v>
      </c>
    </row>
    <row r="78" spans="1:11" ht="15.75" x14ac:dyDescent="0.25">
      <c r="A78" s="5" t="s">
        <v>1114</v>
      </c>
      <c r="B78" s="4" t="s">
        <v>15</v>
      </c>
      <c r="C78" s="4" t="s">
        <v>15</v>
      </c>
      <c r="D78" s="12">
        <v>200</v>
      </c>
      <c r="E78" s="4" t="s">
        <v>4</v>
      </c>
      <c r="F78" s="64" t="s">
        <v>4</v>
      </c>
      <c r="G78" s="119"/>
      <c r="H78" s="11">
        <v>46150</v>
      </c>
    </row>
    <row r="79" spans="1:11" ht="15.75" x14ac:dyDescent="0.25">
      <c r="A79" s="5" t="s">
        <v>1115</v>
      </c>
      <c r="B79" s="4" t="s">
        <v>15</v>
      </c>
      <c r="C79" s="4" t="s">
        <v>15</v>
      </c>
      <c r="D79" s="121">
        <f>150*3</f>
        <v>450</v>
      </c>
      <c r="E79" s="4" t="s">
        <v>4</v>
      </c>
      <c r="F79" s="64" t="s">
        <v>4</v>
      </c>
      <c r="G79" s="119"/>
      <c r="H79" s="11">
        <v>46150</v>
      </c>
    </row>
    <row r="80" spans="1:11" ht="15.75" x14ac:dyDescent="0.25">
      <c r="A80" s="5" t="s">
        <v>1116</v>
      </c>
      <c r="B80" s="4" t="s">
        <v>15</v>
      </c>
      <c r="C80" s="4" t="s">
        <v>15</v>
      </c>
      <c r="D80" s="121">
        <v>300</v>
      </c>
      <c r="E80" s="4" t="s">
        <v>4</v>
      </c>
      <c r="F80" s="64" t="s">
        <v>4</v>
      </c>
      <c r="G80" s="119"/>
      <c r="H80" s="120">
        <v>46150</v>
      </c>
    </row>
    <row r="81" spans="1:8" ht="15.75" x14ac:dyDescent="0.25">
      <c r="A81" s="5" t="s">
        <v>1117</v>
      </c>
      <c r="B81" s="4" t="s">
        <v>15</v>
      </c>
      <c r="C81" s="4" t="s">
        <v>15</v>
      </c>
      <c r="D81" s="121">
        <v>150</v>
      </c>
      <c r="E81" s="4" t="s">
        <v>4</v>
      </c>
      <c r="F81" s="64" t="s">
        <v>4</v>
      </c>
      <c r="G81" s="119"/>
      <c r="H81" s="120">
        <v>46150</v>
      </c>
    </row>
    <row r="82" spans="1:8" ht="15.75" x14ac:dyDescent="0.25">
      <c r="A82" s="5" t="s">
        <v>1119</v>
      </c>
      <c r="B82" s="4" t="s">
        <v>15</v>
      </c>
      <c r="C82" s="4" t="s">
        <v>15</v>
      </c>
      <c r="D82" s="121">
        <v>25</v>
      </c>
      <c r="E82" s="4" t="s">
        <v>4</v>
      </c>
      <c r="F82" s="64" t="s">
        <v>4</v>
      </c>
      <c r="G82" s="119"/>
      <c r="H82" s="120">
        <v>46150</v>
      </c>
    </row>
    <row r="83" spans="1:8" ht="15.75" x14ac:dyDescent="0.25">
      <c r="A83" s="5" t="s">
        <v>1118</v>
      </c>
      <c r="B83" s="4" t="s">
        <v>15</v>
      </c>
      <c r="C83" s="4" t="s">
        <v>15</v>
      </c>
      <c r="D83" s="121">
        <v>25</v>
      </c>
      <c r="E83" s="4" t="s">
        <v>4</v>
      </c>
      <c r="F83" s="64" t="s">
        <v>4</v>
      </c>
      <c r="G83" s="119"/>
      <c r="H83" s="120">
        <v>46150</v>
      </c>
    </row>
    <row r="84" spans="1:8" ht="15.75" x14ac:dyDescent="0.25">
      <c r="A84" s="5" t="s">
        <v>1120</v>
      </c>
      <c r="B84" s="4" t="s">
        <v>15</v>
      </c>
      <c r="C84" s="4" t="s">
        <v>15</v>
      </c>
      <c r="D84" s="121">
        <v>150</v>
      </c>
      <c r="E84" s="4" t="s">
        <v>4</v>
      </c>
      <c r="F84" s="64" t="s">
        <v>4</v>
      </c>
      <c r="G84" s="119"/>
      <c r="H84" s="120">
        <v>46150</v>
      </c>
    </row>
    <row r="85" spans="1:8" ht="15.75" x14ac:dyDescent="0.25">
      <c r="A85" s="5" t="s">
        <v>1121</v>
      </c>
      <c r="B85" s="4" t="s">
        <v>15</v>
      </c>
      <c r="C85" s="4" t="s">
        <v>15</v>
      </c>
      <c r="D85" s="121">
        <v>50</v>
      </c>
      <c r="E85" s="4" t="s">
        <v>4</v>
      </c>
      <c r="F85" s="64" t="s">
        <v>4</v>
      </c>
      <c r="G85" s="119"/>
      <c r="H85" s="120">
        <v>46150</v>
      </c>
    </row>
    <row r="86" spans="1:8" ht="15.75" x14ac:dyDescent="0.25">
      <c r="A86" s="5" t="s">
        <v>1122</v>
      </c>
      <c r="B86" s="4" t="s">
        <v>15</v>
      </c>
      <c r="C86" s="4" t="s">
        <v>15</v>
      </c>
      <c r="D86" s="121">
        <v>100</v>
      </c>
      <c r="E86" s="4" t="s">
        <v>4</v>
      </c>
      <c r="F86" s="64" t="s">
        <v>4</v>
      </c>
      <c r="G86" s="119"/>
      <c r="H86" s="120">
        <v>46150</v>
      </c>
    </row>
    <row r="87" spans="1:8" ht="15.75" x14ac:dyDescent="0.25">
      <c r="A87" s="5" t="s">
        <v>1123</v>
      </c>
      <c r="B87" s="4" t="s">
        <v>15</v>
      </c>
      <c r="C87" s="4" t="s">
        <v>15</v>
      </c>
      <c r="D87" s="121">
        <v>1725</v>
      </c>
      <c r="E87" s="4" t="s">
        <v>4</v>
      </c>
      <c r="F87" s="64" t="s">
        <v>4</v>
      </c>
      <c r="G87" s="119"/>
      <c r="H87" s="120">
        <v>46150</v>
      </c>
    </row>
    <row r="88" spans="1:8" ht="15.75" x14ac:dyDescent="0.25">
      <c r="A88" s="5" t="s">
        <v>1124</v>
      </c>
      <c r="B88" s="4" t="s">
        <v>15</v>
      </c>
      <c r="C88" s="4" t="s">
        <v>15</v>
      </c>
      <c r="D88" s="42">
        <v>-1437.5</v>
      </c>
      <c r="E88" s="4" t="s">
        <v>4</v>
      </c>
      <c r="F88" s="64" t="s">
        <v>4</v>
      </c>
      <c r="G88" s="53" t="s">
        <v>92</v>
      </c>
      <c r="H88" s="11">
        <v>46150</v>
      </c>
    </row>
    <row r="89" spans="1:8" ht="15.75" x14ac:dyDescent="0.25">
      <c r="A89" s="5" t="s">
        <v>1125</v>
      </c>
      <c r="B89" s="4" t="s">
        <v>15</v>
      </c>
      <c r="C89" s="4" t="s">
        <v>15</v>
      </c>
      <c r="D89" s="121">
        <v>1725</v>
      </c>
      <c r="E89" s="4" t="s">
        <v>4</v>
      </c>
      <c r="F89" s="64" t="s">
        <v>4</v>
      </c>
      <c r="G89" s="119"/>
      <c r="H89" s="120">
        <v>46150</v>
      </c>
    </row>
    <row r="90" spans="1:8" ht="15.75" x14ac:dyDescent="0.25">
      <c r="A90" s="5" t="s">
        <v>1126</v>
      </c>
      <c r="B90" s="4" t="s">
        <v>15</v>
      </c>
      <c r="C90" s="4" t="s">
        <v>15</v>
      </c>
      <c r="D90" s="121">
        <v>150</v>
      </c>
      <c r="E90" s="4" t="s">
        <v>4</v>
      </c>
      <c r="F90" s="64" t="s">
        <v>4</v>
      </c>
      <c r="G90" s="119"/>
      <c r="H90" s="120">
        <v>46150</v>
      </c>
    </row>
    <row r="91" spans="1:8" ht="15.75" x14ac:dyDescent="0.25">
      <c r="A91" s="5" t="s">
        <v>1127</v>
      </c>
      <c r="B91" s="4" t="s">
        <v>15</v>
      </c>
      <c r="C91" s="4" t="s">
        <v>15</v>
      </c>
      <c r="D91" s="121">
        <v>210</v>
      </c>
      <c r="E91" s="4" t="s">
        <v>4</v>
      </c>
      <c r="F91" s="64" t="s">
        <v>4</v>
      </c>
      <c r="G91" s="119"/>
      <c r="H91" s="120">
        <v>46150</v>
      </c>
    </row>
    <row r="92" spans="1:8" ht="15.75" x14ac:dyDescent="0.25">
      <c r="A92" s="5" t="s">
        <v>196</v>
      </c>
      <c r="B92" s="4" t="s">
        <v>149</v>
      </c>
      <c r="C92" s="4" t="s">
        <v>39</v>
      </c>
      <c r="D92" s="13">
        <v>759.04</v>
      </c>
      <c r="E92" s="4" t="s">
        <v>4</v>
      </c>
      <c r="F92" s="64" t="s">
        <v>4</v>
      </c>
      <c r="G92" s="119"/>
      <c r="H92" s="11">
        <v>46153</v>
      </c>
    </row>
    <row r="93" spans="1:8" ht="15.75" x14ac:dyDescent="0.25">
      <c r="A93" s="5" t="s">
        <v>1130</v>
      </c>
      <c r="B93" s="4" t="s">
        <v>84</v>
      </c>
      <c r="C93" s="4" t="s">
        <v>84</v>
      </c>
      <c r="D93" s="71">
        <v>216.44</v>
      </c>
      <c r="E93" s="4" t="s">
        <v>4</v>
      </c>
      <c r="F93" s="64" t="s">
        <v>4</v>
      </c>
      <c r="G93" s="53" t="s">
        <v>94</v>
      </c>
      <c r="H93" s="11">
        <v>46153</v>
      </c>
    </row>
    <row r="94" spans="1:8" ht="15.75" x14ac:dyDescent="0.25">
      <c r="A94" s="5" t="s">
        <v>1131</v>
      </c>
      <c r="B94" s="4" t="s">
        <v>84</v>
      </c>
      <c r="C94" s="4" t="s">
        <v>84</v>
      </c>
      <c r="D94" s="121">
        <v>200.45</v>
      </c>
      <c r="E94" s="4" t="s">
        <v>4</v>
      </c>
      <c r="F94" s="64" t="s">
        <v>4</v>
      </c>
      <c r="G94" s="23" t="s">
        <v>1132</v>
      </c>
      <c r="H94" s="120">
        <v>46153</v>
      </c>
    </row>
    <row r="95" spans="1:8" ht="15.75" x14ac:dyDescent="0.25">
      <c r="A95" s="5" t="s">
        <v>1133</v>
      </c>
      <c r="B95" s="4" t="s">
        <v>84</v>
      </c>
      <c r="C95" s="4" t="s">
        <v>84</v>
      </c>
      <c r="D95" s="12">
        <v>187.91</v>
      </c>
      <c r="E95" s="4" t="s">
        <v>4</v>
      </c>
      <c r="F95" s="64" t="s">
        <v>4</v>
      </c>
      <c r="G95" s="53" t="s">
        <v>94</v>
      </c>
      <c r="H95" s="11">
        <v>46153</v>
      </c>
    </row>
    <row r="96" spans="1:8" ht="15.75" x14ac:dyDescent="0.25">
      <c r="A96" s="5" t="s">
        <v>1134</v>
      </c>
      <c r="B96" s="4" t="s">
        <v>84</v>
      </c>
      <c r="C96" s="4" t="s">
        <v>84</v>
      </c>
      <c r="D96" s="71">
        <v>187.91</v>
      </c>
      <c r="E96" s="4" t="s">
        <v>4</v>
      </c>
      <c r="F96" s="64" t="s">
        <v>4</v>
      </c>
      <c r="G96" s="53" t="s">
        <v>94</v>
      </c>
      <c r="H96" s="11">
        <v>46153</v>
      </c>
    </row>
    <row r="97" spans="1:12" ht="15.75" x14ac:dyDescent="0.25">
      <c r="A97" s="5" t="s">
        <v>1135</v>
      </c>
      <c r="B97" s="4" t="s">
        <v>84</v>
      </c>
      <c r="C97" s="4" t="s">
        <v>84</v>
      </c>
      <c r="D97" s="12">
        <v>172.41</v>
      </c>
      <c r="E97" s="4" t="s">
        <v>4</v>
      </c>
      <c r="F97" s="64" t="s">
        <v>4</v>
      </c>
      <c r="G97" s="53" t="s">
        <v>94</v>
      </c>
      <c r="H97" s="11">
        <v>46153</v>
      </c>
      <c r="J97" s="26"/>
    </row>
    <row r="98" spans="1:12" ht="15.75" x14ac:dyDescent="0.25">
      <c r="A98" s="5" t="s">
        <v>1136</v>
      </c>
      <c r="B98" s="4" t="s">
        <v>84</v>
      </c>
      <c r="C98" s="4" t="s">
        <v>84</v>
      </c>
      <c r="D98" s="121">
        <v>172.41</v>
      </c>
      <c r="E98" s="4" t="s">
        <v>4</v>
      </c>
      <c r="F98" s="64" t="s">
        <v>4</v>
      </c>
      <c r="G98" s="23" t="s">
        <v>101</v>
      </c>
      <c r="H98" s="120">
        <v>46153</v>
      </c>
    </row>
    <row r="99" spans="1:12" ht="15.75" x14ac:dyDescent="0.25">
      <c r="A99" s="5" t="s">
        <v>950</v>
      </c>
      <c r="B99" s="4" t="s">
        <v>84</v>
      </c>
      <c r="C99" s="4" t="s">
        <v>38</v>
      </c>
      <c r="D99" s="122">
        <v>187.91</v>
      </c>
      <c r="E99" s="4" t="s">
        <v>4</v>
      </c>
      <c r="F99" s="64" t="s">
        <v>4</v>
      </c>
      <c r="G99" s="23" t="s">
        <v>102</v>
      </c>
      <c r="H99" s="120">
        <v>46153</v>
      </c>
    </row>
    <row r="100" spans="1:12" ht="15.75" x14ac:dyDescent="0.25">
      <c r="A100" s="5" t="s">
        <v>949</v>
      </c>
      <c r="B100" s="4" t="s">
        <v>84</v>
      </c>
      <c r="C100" s="4" t="s">
        <v>38</v>
      </c>
      <c r="D100" s="122">
        <v>187.91</v>
      </c>
      <c r="E100" s="4" t="s">
        <v>4</v>
      </c>
      <c r="F100" s="64" t="s">
        <v>4</v>
      </c>
      <c r="G100" s="23" t="s">
        <v>102</v>
      </c>
      <c r="H100" s="120">
        <v>46153</v>
      </c>
    </row>
    <row r="101" spans="1:12" ht="15.75" x14ac:dyDescent="0.25">
      <c r="A101" s="5" t="s">
        <v>1138</v>
      </c>
      <c r="B101" s="4" t="s">
        <v>84</v>
      </c>
      <c r="C101" s="4" t="s">
        <v>38</v>
      </c>
      <c r="D101" s="122">
        <v>185.83</v>
      </c>
      <c r="E101" s="4" t="s">
        <v>4</v>
      </c>
      <c r="F101" s="64" t="s">
        <v>4</v>
      </c>
      <c r="G101" s="119"/>
      <c r="H101" s="120">
        <v>46153</v>
      </c>
      <c r="J101" s="26"/>
    </row>
    <row r="102" spans="1:12" ht="15.75" x14ac:dyDescent="0.25">
      <c r="A102" s="5" t="s">
        <v>189</v>
      </c>
      <c r="B102" s="4" t="s">
        <v>133</v>
      </c>
      <c r="C102" s="4" t="s">
        <v>38</v>
      </c>
      <c r="D102" s="121">
        <v>801.48</v>
      </c>
      <c r="E102" s="4" t="s">
        <v>4</v>
      </c>
      <c r="F102" s="64" t="s">
        <v>4</v>
      </c>
      <c r="G102" s="119"/>
      <c r="H102" s="120">
        <v>46153</v>
      </c>
    </row>
    <row r="103" spans="1:12" ht="15.75" x14ac:dyDescent="0.25">
      <c r="A103" s="5" t="s">
        <v>1137</v>
      </c>
      <c r="B103" s="4" t="s">
        <v>84</v>
      </c>
      <c r="C103" s="4" t="s">
        <v>38</v>
      </c>
      <c r="D103" s="121">
        <v>78.62</v>
      </c>
      <c r="E103" s="4" t="s">
        <v>4</v>
      </c>
      <c r="F103" s="64" t="s">
        <v>4</v>
      </c>
      <c r="G103" s="119"/>
      <c r="H103" s="120">
        <v>46153</v>
      </c>
      <c r="J103" t="s">
        <v>69</v>
      </c>
    </row>
    <row r="104" spans="1:12" ht="15.75" x14ac:dyDescent="0.25">
      <c r="A104" s="5" t="s">
        <v>200</v>
      </c>
      <c r="B104" s="4" t="s">
        <v>148</v>
      </c>
      <c r="C104" s="4" t="s">
        <v>38</v>
      </c>
      <c r="D104" s="121">
        <v>250</v>
      </c>
      <c r="E104" s="4" t="s">
        <v>4</v>
      </c>
      <c r="F104" s="64" t="s">
        <v>4</v>
      </c>
      <c r="G104" s="119"/>
      <c r="H104" s="120">
        <v>46153</v>
      </c>
    </row>
    <row r="105" spans="1:12" ht="15.75" x14ac:dyDescent="0.25">
      <c r="A105" s="5" t="s">
        <v>1139</v>
      </c>
      <c r="B105" s="4" t="s">
        <v>134</v>
      </c>
      <c r="C105" s="4" t="s">
        <v>38</v>
      </c>
      <c r="D105" s="121">
        <v>124.55</v>
      </c>
      <c r="E105" s="4" t="s">
        <v>4</v>
      </c>
      <c r="F105" s="64" t="s">
        <v>4</v>
      </c>
      <c r="G105" s="23" t="s">
        <v>102</v>
      </c>
      <c r="H105" s="11">
        <v>46153</v>
      </c>
    </row>
    <row r="106" spans="1:12" ht="15.75" x14ac:dyDescent="0.25">
      <c r="A106" s="5" t="s">
        <v>29</v>
      </c>
      <c r="B106" s="4" t="s">
        <v>152</v>
      </c>
      <c r="C106" s="4" t="s">
        <v>38</v>
      </c>
      <c r="D106" s="121">
        <v>147.56</v>
      </c>
      <c r="E106" s="4" t="s">
        <v>4</v>
      </c>
      <c r="F106" s="64" t="s">
        <v>4</v>
      </c>
      <c r="G106" s="119"/>
      <c r="H106" s="120">
        <v>46153</v>
      </c>
    </row>
    <row r="107" spans="1:12" ht="15.75" x14ac:dyDescent="0.25">
      <c r="A107" s="5" t="s">
        <v>1140</v>
      </c>
      <c r="B107" s="4" t="s">
        <v>39</v>
      </c>
      <c r="C107" s="4" t="s">
        <v>38</v>
      </c>
      <c r="D107" s="121">
        <v>1442.19</v>
      </c>
      <c r="E107" s="4" t="s">
        <v>4</v>
      </c>
      <c r="F107" s="64" t="s">
        <v>4</v>
      </c>
      <c r="G107" s="119"/>
      <c r="H107" s="120">
        <v>46153</v>
      </c>
    </row>
    <row r="108" spans="1:12" ht="15.75" x14ac:dyDescent="0.25">
      <c r="A108" s="5" t="s">
        <v>1146</v>
      </c>
      <c r="B108" s="4" t="s">
        <v>148</v>
      </c>
      <c r="C108" s="4" t="s">
        <v>38</v>
      </c>
      <c r="D108" s="86">
        <v>77.17</v>
      </c>
      <c r="E108" s="4" t="s">
        <v>4</v>
      </c>
      <c r="F108" s="64" t="s">
        <v>4</v>
      </c>
      <c r="G108" s="53" t="s">
        <v>92</v>
      </c>
      <c r="H108" s="11">
        <v>46153</v>
      </c>
    </row>
    <row r="109" spans="1:12" ht="15.75" x14ac:dyDescent="0.25">
      <c r="A109" s="5" t="s">
        <v>1144</v>
      </c>
      <c r="B109" s="4" t="s">
        <v>148</v>
      </c>
      <c r="C109" s="4" t="s">
        <v>38</v>
      </c>
      <c r="D109" s="86">
        <v>77.17</v>
      </c>
      <c r="E109" s="4" t="s">
        <v>4</v>
      </c>
      <c r="F109" s="64" t="s">
        <v>4</v>
      </c>
      <c r="G109" s="53" t="s">
        <v>92</v>
      </c>
      <c r="H109" s="11">
        <v>46153</v>
      </c>
    </row>
    <row r="110" spans="1:12" ht="15.75" x14ac:dyDescent="0.25">
      <c r="A110" s="5" t="s">
        <v>1143</v>
      </c>
      <c r="B110" s="4" t="s">
        <v>148</v>
      </c>
      <c r="C110" s="4" t="s">
        <v>38</v>
      </c>
      <c r="D110" s="86">
        <v>77.17</v>
      </c>
      <c r="E110" s="4" t="s">
        <v>4</v>
      </c>
      <c r="F110" s="64" t="s">
        <v>4</v>
      </c>
      <c r="G110" s="53" t="s">
        <v>92</v>
      </c>
      <c r="H110" s="11">
        <v>46153</v>
      </c>
    </row>
    <row r="111" spans="1:12" ht="15.75" x14ac:dyDescent="0.25">
      <c r="A111" s="5" t="s">
        <v>1142</v>
      </c>
      <c r="B111" s="4" t="s">
        <v>148</v>
      </c>
      <c r="C111" s="4" t="s">
        <v>38</v>
      </c>
      <c r="D111" s="12">
        <v>99.22</v>
      </c>
      <c r="E111" s="4" t="s">
        <v>4</v>
      </c>
      <c r="F111" s="64" t="s">
        <v>4</v>
      </c>
      <c r="G111" s="53" t="s">
        <v>92</v>
      </c>
      <c r="H111" s="11">
        <v>46153</v>
      </c>
    </row>
    <row r="112" spans="1:12" ht="15.75" x14ac:dyDescent="0.25">
      <c r="A112" s="5" t="s">
        <v>1141</v>
      </c>
      <c r="B112" s="4" t="s">
        <v>148</v>
      </c>
      <c r="C112" s="4" t="s">
        <v>38</v>
      </c>
      <c r="D112" s="86">
        <v>77.17</v>
      </c>
      <c r="E112" s="4" t="s">
        <v>4</v>
      </c>
      <c r="F112" s="64" t="s">
        <v>4</v>
      </c>
      <c r="G112" s="53" t="s">
        <v>1132</v>
      </c>
      <c r="H112" s="11">
        <v>46153</v>
      </c>
      <c r="L112" s="26"/>
    </row>
    <row r="113" spans="1:12" ht="15.75" x14ac:dyDescent="0.25">
      <c r="A113" s="5" t="s">
        <v>1145</v>
      </c>
      <c r="B113" s="4" t="s">
        <v>133</v>
      </c>
      <c r="C113" s="4" t="s">
        <v>38</v>
      </c>
      <c r="D113" s="121">
        <v>629.61</v>
      </c>
      <c r="E113" s="4" t="s">
        <v>4</v>
      </c>
      <c r="F113" s="64" t="s">
        <v>4</v>
      </c>
      <c r="G113" s="119"/>
      <c r="H113" s="120">
        <v>46153</v>
      </c>
      <c r="L113" s="26"/>
    </row>
    <row r="114" spans="1:12" ht="15.75" x14ac:dyDescent="0.25">
      <c r="A114" s="5" t="s">
        <v>486</v>
      </c>
      <c r="B114" s="4" t="s">
        <v>152</v>
      </c>
      <c r="C114" s="4" t="s">
        <v>38</v>
      </c>
      <c r="D114" s="121">
        <v>54.14</v>
      </c>
      <c r="E114" s="4" t="s">
        <v>4</v>
      </c>
      <c r="F114" s="64" t="s">
        <v>4</v>
      </c>
      <c r="G114" s="23" t="s">
        <v>1132</v>
      </c>
      <c r="H114" s="120">
        <v>46153</v>
      </c>
    </row>
    <row r="115" spans="1:12" ht="15.75" x14ac:dyDescent="0.25">
      <c r="A115" s="5" t="s">
        <v>191</v>
      </c>
      <c r="B115" s="4" t="s">
        <v>133</v>
      </c>
      <c r="C115" s="4" t="s">
        <v>38</v>
      </c>
      <c r="D115" s="121">
        <v>405.18</v>
      </c>
      <c r="E115" s="4" t="s">
        <v>4</v>
      </c>
      <c r="F115" s="64" t="s">
        <v>4</v>
      </c>
      <c r="G115" s="23" t="s">
        <v>100</v>
      </c>
      <c r="H115" s="120">
        <v>46153</v>
      </c>
    </row>
    <row r="116" spans="1:12" ht="15.75" x14ac:dyDescent="0.25">
      <c r="A116" s="5" t="s">
        <v>1102</v>
      </c>
      <c r="B116" s="4" t="s">
        <v>148</v>
      </c>
      <c r="C116" s="4" t="s">
        <v>38</v>
      </c>
      <c r="D116" s="121">
        <v>199.17</v>
      </c>
      <c r="E116" s="4" t="s">
        <v>4</v>
      </c>
      <c r="F116" s="64" t="s">
        <v>4</v>
      </c>
      <c r="G116" s="23" t="s">
        <v>102</v>
      </c>
      <c r="H116" s="120">
        <v>46153</v>
      </c>
    </row>
    <row r="117" spans="1:12" ht="15.75" x14ac:dyDescent="0.25">
      <c r="A117" s="5" t="s">
        <v>1147</v>
      </c>
      <c r="B117" s="4" t="s">
        <v>84</v>
      </c>
      <c r="C117" s="4" t="s">
        <v>38</v>
      </c>
      <c r="D117" s="122">
        <v>108.34</v>
      </c>
      <c r="E117" s="4" t="s">
        <v>4</v>
      </c>
      <c r="F117" s="64" t="s">
        <v>4</v>
      </c>
      <c r="G117" s="23" t="s">
        <v>102</v>
      </c>
      <c r="H117" s="11">
        <v>46153</v>
      </c>
    </row>
    <row r="118" spans="1:12" ht="15.75" x14ac:dyDescent="0.25">
      <c r="A118" s="5" t="s">
        <v>1148</v>
      </c>
      <c r="B118" s="4" t="s">
        <v>84</v>
      </c>
      <c r="C118" s="4" t="s">
        <v>38</v>
      </c>
      <c r="D118" s="122">
        <v>100.68</v>
      </c>
      <c r="E118" s="4" t="s">
        <v>4</v>
      </c>
      <c r="F118" s="64" t="s">
        <v>4</v>
      </c>
      <c r="G118" s="23" t="s">
        <v>102</v>
      </c>
      <c r="H118" s="11">
        <v>46153</v>
      </c>
      <c r="L118" t="s">
        <v>487</v>
      </c>
    </row>
    <row r="119" spans="1:12" ht="15.75" x14ac:dyDescent="0.25">
      <c r="A119" s="5" t="s">
        <v>1149</v>
      </c>
      <c r="B119" s="4" t="s">
        <v>148</v>
      </c>
      <c r="C119" s="4" t="s">
        <v>38</v>
      </c>
      <c r="D119" s="12">
        <v>105</v>
      </c>
      <c r="E119" s="4" t="s">
        <v>4</v>
      </c>
      <c r="F119" s="64" t="s">
        <v>4</v>
      </c>
      <c r="G119" s="53" t="s">
        <v>1132</v>
      </c>
      <c r="H119" s="11">
        <v>46153</v>
      </c>
    </row>
    <row r="120" spans="1:12" ht="15.75" x14ac:dyDescent="0.25">
      <c r="A120" s="5" t="s">
        <v>1150</v>
      </c>
      <c r="B120" s="4" t="s">
        <v>148</v>
      </c>
      <c r="C120" s="4" t="s">
        <v>38</v>
      </c>
      <c r="D120" s="12">
        <v>105</v>
      </c>
      <c r="E120" s="4" t="s">
        <v>4</v>
      </c>
      <c r="F120" s="64" t="s">
        <v>4</v>
      </c>
      <c r="G120" s="53" t="s">
        <v>92</v>
      </c>
      <c r="H120" s="11">
        <v>46153</v>
      </c>
    </row>
    <row r="121" spans="1:12" ht="15.75" x14ac:dyDescent="0.25">
      <c r="A121" s="5" t="s">
        <v>32</v>
      </c>
      <c r="B121" s="4" t="s">
        <v>133</v>
      </c>
      <c r="C121" s="4" t="s">
        <v>38</v>
      </c>
      <c r="D121" s="12">
        <v>566.21</v>
      </c>
      <c r="E121" s="4" t="s">
        <v>4</v>
      </c>
      <c r="F121" s="64" t="s">
        <v>4</v>
      </c>
      <c r="G121" s="53" t="s">
        <v>100</v>
      </c>
      <c r="H121" s="11">
        <v>46153</v>
      </c>
    </row>
    <row r="122" spans="1:12" ht="15.75" x14ac:dyDescent="0.25">
      <c r="A122" s="5" t="s">
        <v>1151</v>
      </c>
      <c r="B122" s="4" t="s">
        <v>148</v>
      </c>
      <c r="C122" s="4" t="s">
        <v>38</v>
      </c>
      <c r="D122" s="86">
        <v>128.63999999999999</v>
      </c>
      <c r="E122" s="4" t="s">
        <v>4</v>
      </c>
      <c r="F122" s="64" t="s">
        <v>4</v>
      </c>
      <c r="G122" s="53" t="s">
        <v>94</v>
      </c>
      <c r="H122" s="11">
        <v>46153</v>
      </c>
    </row>
    <row r="123" spans="1:12" ht="15.75" x14ac:dyDescent="0.25">
      <c r="A123" s="5" t="s">
        <v>1152</v>
      </c>
      <c r="B123" s="4" t="s">
        <v>148</v>
      </c>
      <c r="C123" s="4" t="s">
        <v>38</v>
      </c>
      <c r="D123" s="86">
        <v>100.82</v>
      </c>
      <c r="E123" s="4" t="s">
        <v>4</v>
      </c>
      <c r="F123" s="64" t="s">
        <v>4</v>
      </c>
      <c r="G123" s="53" t="s">
        <v>92</v>
      </c>
      <c r="H123" s="11">
        <v>46153</v>
      </c>
    </row>
    <row r="124" spans="1:12" ht="15.75" x14ac:dyDescent="0.25">
      <c r="A124" s="5" t="s">
        <v>1154</v>
      </c>
      <c r="B124" s="4" t="s">
        <v>148</v>
      </c>
      <c r="C124" s="4" t="s">
        <v>38</v>
      </c>
      <c r="D124" s="12">
        <v>90.74</v>
      </c>
      <c r="E124" s="4" t="s">
        <v>4</v>
      </c>
      <c r="F124" s="64" t="s">
        <v>4</v>
      </c>
      <c r="G124" s="53" t="s">
        <v>92</v>
      </c>
      <c r="H124" s="11">
        <v>46153</v>
      </c>
    </row>
    <row r="125" spans="1:12" ht="15.75" x14ac:dyDescent="0.25">
      <c r="A125" s="5" t="s">
        <v>1153</v>
      </c>
      <c r="B125" s="4" t="s">
        <v>148</v>
      </c>
      <c r="C125" s="4" t="s">
        <v>38</v>
      </c>
      <c r="D125" s="86">
        <v>100.82</v>
      </c>
      <c r="E125" s="4" t="s">
        <v>4</v>
      </c>
      <c r="F125" s="64" t="s">
        <v>4</v>
      </c>
      <c r="G125" s="53" t="s">
        <v>92</v>
      </c>
      <c r="H125" s="11">
        <v>46153</v>
      </c>
    </row>
    <row r="126" spans="1:12" ht="15.75" x14ac:dyDescent="0.25">
      <c r="A126" s="5" t="s">
        <v>1155</v>
      </c>
      <c r="B126" s="4" t="s">
        <v>133</v>
      </c>
      <c r="C126" s="4" t="s">
        <v>38</v>
      </c>
      <c r="D126" s="12">
        <v>629.67999999999995</v>
      </c>
      <c r="E126" s="4" t="s">
        <v>4</v>
      </c>
      <c r="F126" s="64" t="s">
        <v>4</v>
      </c>
      <c r="G126" s="67" t="s">
        <v>102</v>
      </c>
      <c r="H126" s="120">
        <v>46153</v>
      </c>
    </row>
    <row r="127" spans="1:12" ht="15.75" x14ac:dyDescent="0.25">
      <c r="A127" s="5" t="s">
        <v>1156</v>
      </c>
      <c r="B127" s="4" t="s">
        <v>152</v>
      </c>
      <c r="C127" s="4" t="s">
        <v>38</v>
      </c>
      <c r="D127" s="121">
        <v>165.04</v>
      </c>
      <c r="E127" s="4" t="s">
        <v>4</v>
      </c>
      <c r="F127" s="64" t="s">
        <v>4</v>
      </c>
      <c r="G127" s="23" t="s">
        <v>93</v>
      </c>
      <c r="H127" s="120">
        <v>46153</v>
      </c>
    </row>
    <row r="128" spans="1:12" ht="15.75" x14ac:dyDescent="0.25">
      <c r="A128" s="5" t="s">
        <v>1157</v>
      </c>
      <c r="B128" s="4" t="s">
        <v>148</v>
      </c>
      <c r="C128" s="4" t="s">
        <v>38</v>
      </c>
      <c r="D128" s="121">
        <v>229</v>
      </c>
      <c r="E128" s="4" t="s">
        <v>4</v>
      </c>
      <c r="F128" s="64" t="s">
        <v>4</v>
      </c>
      <c r="G128" s="23" t="s">
        <v>103</v>
      </c>
      <c r="H128" s="120">
        <v>46153</v>
      </c>
    </row>
    <row r="129" spans="1:8" ht="15.75" x14ac:dyDescent="0.25">
      <c r="A129" s="5" t="s">
        <v>1158</v>
      </c>
      <c r="B129" s="4" t="s">
        <v>39</v>
      </c>
      <c r="C129" s="4" t="s">
        <v>38</v>
      </c>
      <c r="D129" s="121">
        <v>167.42</v>
      </c>
      <c r="E129" s="4" t="s">
        <v>4</v>
      </c>
      <c r="F129" s="64" t="s">
        <v>4</v>
      </c>
      <c r="G129" s="23" t="s">
        <v>103</v>
      </c>
      <c r="H129" s="120">
        <v>46153</v>
      </c>
    </row>
    <row r="130" spans="1:8" ht="15.75" x14ac:dyDescent="0.25">
      <c r="A130" s="5" t="s">
        <v>1159</v>
      </c>
      <c r="B130" s="4" t="s">
        <v>39</v>
      </c>
      <c r="C130" s="4" t="s">
        <v>38</v>
      </c>
      <c r="D130" s="121">
        <v>379.9</v>
      </c>
      <c r="E130" s="4" t="s">
        <v>4</v>
      </c>
      <c r="F130" s="64" t="s">
        <v>4</v>
      </c>
      <c r="G130" s="119"/>
      <c r="H130" s="120">
        <v>46153</v>
      </c>
    </row>
    <row r="131" spans="1:8" ht="15.75" x14ac:dyDescent="0.25">
      <c r="A131" s="5" t="s">
        <v>1160</v>
      </c>
      <c r="B131" s="4" t="s">
        <v>39</v>
      </c>
      <c r="C131" s="4" t="s">
        <v>38</v>
      </c>
      <c r="D131" s="121">
        <v>396.38</v>
      </c>
      <c r="E131" s="4" t="s">
        <v>4</v>
      </c>
      <c r="F131" s="64" t="s">
        <v>4</v>
      </c>
      <c r="G131" s="119"/>
      <c r="H131" s="120">
        <v>46153</v>
      </c>
    </row>
    <row r="132" spans="1:8" ht="15.75" x14ac:dyDescent="0.25">
      <c r="A132" s="5" t="s">
        <v>1161</v>
      </c>
      <c r="B132" s="4" t="s">
        <v>39</v>
      </c>
      <c r="C132" s="4" t="s">
        <v>38</v>
      </c>
      <c r="D132" s="121">
        <v>326.33</v>
      </c>
      <c r="E132" s="4" t="s">
        <v>4</v>
      </c>
      <c r="F132" s="64" t="s">
        <v>4</v>
      </c>
      <c r="G132" s="119"/>
      <c r="H132" s="120">
        <v>46153</v>
      </c>
    </row>
    <row r="133" spans="1:8" ht="15.75" x14ac:dyDescent="0.25">
      <c r="A133" s="5" t="s">
        <v>1163</v>
      </c>
      <c r="B133" s="4" t="s">
        <v>84</v>
      </c>
      <c r="C133" s="4" t="s">
        <v>38</v>
      </c>
      <c r="D133" s="12">
        <v>132.24</v>
      </c>
      <c r="E133" s="4" t="s">
        <v>4</v>
      </c>
      <c r="F133" s="64" t="s">
        <v>4</v>
      </c>
      <c r="G133" s="67"/>
      <c r="H133" s="120">
        <v>46153</v>
      </c>
    </row>
    <row r="134" spans="1:8" ht="15.75" x14ac:dyDescent="0.25">
      <c r="A134" s="5" t="s">
        <v>1162</v>
      </c>
      <c r="B134" s="4" t="s">
        <v>84</v>
      </c>
      <c r="C134" s="4" t="s">
        <v>38</v>
      </c>
      <c r="D134" s="121">
        <v>78.62</v>
      </c>
      <c r="E134" s="4" t="s">
        <v>4</v>
      </c>
      <c r="F134" s="64" t="s">
        <v>4</v>
      </c>
      <c r="G134" s="119"/>
      <c r="H134" s="120">
        <v>46153</v>
      </c>
    </row>
    <row r="135" spans="1:8" ht="15.75" x14ac:dyDescent="0.25">
      <c r="A135" s="5" t="s">
        <v>34</v>
      </c>
      <c r="B135" s="4" t="s">
        <v>134</v>
      </c>
      <c r="C135" s="4" t="s">
        <v>38</v>
      </c>
      <c r="D135" s="28">
        <v>80</v>
      </c>
      <c r="E135" s="4" t="s">
        <v>4</v>
      </c>
      <c r="F135" s="64" t="s">
        <v>4</v>
      </c>
      <c r="G135" s="53" t="s">
        <v>92</v>
      </c>
      <c r="H135" s="11">
        <v>46153</v>
      </c>
    </row>
    <row r="136" spans="1:8" ht="15.75" x14ac:dyDescent="0.25">
      <c r="A136" s="5" t="s">
        <v>1164</v>
      </c>
      <c r="B136" s="4" t="s">
        <v>148</v>
      </c>
      <c r="C136" s="4" t="s">
        <v>38</v>
      </c>
      <c r="D136" s="121">
        <v>35</v>
      </c>
      <c r="E136" s="4" t="s">
        <v>4</v>
      </c>
      <c r="F136" s="64" t="s">
        <v>4</v>
      </c>
      <c r="G136" s="119"/>
      <c r="H136" s="120">
        <v>46153</v>
      </c>
    </row>
    <row r="137" spans="1:8" ht="15.75" x14ac:dyDescent="0.25">
      <c r="A137" s="5" t="s">
        <v>1165</v>
      </c>
      <c r="B137" s="4" t="s">
        <v>84</v>
      </c>
      <c r="C137" s="4" t="s">
        <v>38</v>
      </c>
      <c r="D137" s="121">
        <v>45.02</v>
      </c>
      <c r="E137" s="4" t="s">
        <v>4</v>
      </c>
      <c r="F137" s="64" t="s">
        <v>4</v>
      </c>
      <c r="G137" s="23" t="s">
        <v>101</v>
      </c>
      <c r="H137" s="11">
        <v>46153</v>
      </c>
    </row>
    <row r="138" spans="1:8" ht="15.75" x14ac:dyDescent="0.25">
      <c r="A138" s="5" t="s">
        <v>1166</v>
      </c>
      <c r="B138" s="4" t="s">
        <v>141</v>
      </c>
      <c r="C138" s="4" t="s">
        <v>39</v>
      </c>
      <c r="D138" s="13">
        <v>1622.91</v>
      </c>
      <c r="E138" s="4" t="s">
        <v>4</v>
      </c>
      <c r="F138" s="64" t="s">
        <v>4</v>
      </c>
      <c r="G138" s="53" t="s">
        <v>100</v>
      </c>
      <c r="H138" s="11">
        <v>46153</v>
      </c>
    </row>
    <row r="139" spans="1:8" ht="15.75" x14ac:dyDescent="0.25">
      <c r="A139" s="5" t="s">
        <v>1167</v>
      </c>
      <c r="B139" s="4" t="s">
        <v>39</v>
      </c>
      <c r="C139" s="4" t="s">
        <v>38</v>
      </c>
      <c r="D139" s="121">
        <v>520</v>
      </c>
      <c r="E139" s="4" t="s">
        <v>4</v>
      </c>
      <c r="F139" s="64" t="s">
        <v>4</v>
      </c>
      <c r="G139" s="119"/>
      <c r="H139" s="120">
        <v>46153</v>
      </c>
    </row>
    <row r="140" spans="1:8" ht="15.75" x14ac:dyDescent="0.25">
      <c r="A140" s="5" t="s">
        <v>1168</v>
      </c>
      <c r="B140" s="4" t="s">
        <v>148</v>
      </c>
      <c r="C140" s="4" t="s">
        <v>38</v>
      </c>
      <c r="D140" s="121">
        <v>150</v>
      </c>
      <c r="E140" s="4" t="s">
        <v>4</v>
      </c>
      <c r="F140" s="64" t="s">
        <v>4</v>
      </c>
      <c r="G140" s="119"/>
      <c r="H140" s="120">
        <v>46153</v>
      </c>
    </row>
    <row r="141" spans="1:8" ht="15.75" x14ac:dyDescent="0.25">
      <c r="A141" s="5" t="s">
        <v>1169</v>
      </c>
      <c r="B141" s="4" t="s">
        <v>148</v>
      </c>
      <c r="C141" s="4" t="s">
        <v>38</v>
      </c>
      <c r="D141" s="121">
        <v>100</v>
      </c>
      <c r="E141" s="4" t="s">
        <v>4</v>
      </c>
      <c r="F141" s="64" t="s">
        <v>4</v>
      </c>
      <c r="G141" s="119"/>
      <c r="H141" s="120">
        <v>46153</v>
      </c>
    </row>
    <row r="142" spans="1:8" ht="15.75" x14ac:dyDescent="0.25">
      <c r="A142" s="5" t="s">
        <v>926</v>
      </c>
      <c r="B142" s="4" t="s">
        <v>148</v>
      </c>
      <c r="C142" s="4" t="s">
        <v>38</v>
      </c>
      <c r="D142" s="121">
        <v>50</v>
      </c>
      <c r="E142" s="4" t="s">
        <v>4</v>
      </c>
      <c r="F142" s="64" t="s">
        <v>4</v>
      </c>
      <c r="G142" s="119"/>
      <c r="H142" s="120">
        <v>46153</v>
      </c>
    </row>
    <row r="143" spans="1:8" ht="15.75" x14ac:dyDescent="0.25">
      <c r="A143" s="5" t="s">
        <v>1170</v>
      </c>
      <c r="B143" s="4" t="s">
        <v>148</v>
      </c>
      <c r="C143" s="4" t="s">
        <v>38</v>
      </c>
      <c r="D143" s="121">
        <v>150</v>
      </c>
      <c r="E143" s="4" t="s">
        <v>4</v>
      </c>
      <c r="F143" s="64" t="s">
        <v>4</v>
      </c>
      <c r="G143" s="119"/>
      <c r="H143" s="120">
        <v>46153</v>
      </c>
    </row>
    <row r="144" spans="1:8" ht="15.75" x14ac:dyDescent="0.25">
      <c r="A144" s="5" t="s">
        <v>1171</v>
      </c>
      <c r="B144" s="4" t="s">
        <v>967</v>
      </c>
      <c r="C144" s="4" t="s">
        <v>38</v>
      </c>
      <c r="D144" s="121">
        <v>10</v>
      </c>
      <c r="E144" s="4" t="s">
        <v>4</v>
      </c>
      <c r="F144" s="64" t="s">
        <v>4</v>
      </c>
      <c r="G144" s="119"/>
      <c r="H144" s="120">
        <v>46154</v>
      </c>
    </row>
    <row r="145" spans="1:8" ht="15.75" x14ac:dyDescent="0.25">
      <c r="A145" s="5" t="s">
        <v>1172</v>
      </c>
      <c r="B145" s="4" t="s">
        <v>148</v>
      </c>
      <c r="C145" s="4" t="s">
        <v>38</v>
      </c>
      <c r="D145" s="121">
        <v>130</v>
      </c>
      <c r="E145" s="4" t="s">
        <v>4</v>
      </c>
      <c r="F145" s="64" t="s">
        <v>4</v>
      </c>
      <c r="G145" s="119"/>
      <c r="H145" s="120">
        <v>46153</v>
      </c>
    </row>
    <row r="146" spans="1:8" ht="15.75" x14ac:dyDescent="0.25">
      <c r="A146" s="5" t="s">
        <v>1174</v>
      </c>
      <c r="B146" s="4" t="s">
        <v>15</v>
      </c>
      <c r="C146" s="4" t="s">
        <v>15</v>
      </c>
      <c r="D146" s="121">
        <v>200</v>
      </c>
      <c r="E146" s="4" t="s">
        <v>4</v>
      </c>
      <c r="F146" s="64" t="s">
        <v>4</v>
      </c>
      <c r="G146" s="119"/>
      <c r="H146" s="120">
        <v>46154</v>
      </c>
    </row>
    <row r="147" spans="1:8" ht="15.75" x14ac:dyDescent="0.25">
      <c r="A147" s="5" t="s">
        <v>1176</v>
      </c>
      <c r="B147" s="4" t="s">
        <v>148</v>
      </c>
      <c r="C147" s="4" t="s">
        <v>38</v>
      </c>
      <c r="D147" s="12">
        <v>35</v>
      </c>
      <c r="E147" s="4" t="s">
        <v>4</v>
      </c>
      <c r="F147" s="64" t="s">
        <v>4</v>
      </c>
      <c r="G147" s="53" t="s">
        <v>69</v>
      </c>
      <c r="H147" s="11">
        <v>46154</v>
      </c>
    </row>
    <row r="148" spans="1:8" ht="15.75" x14ac:dyDescent="0.25">
      <c r="A148" s="5" t="s">
        <v>1177</v>
      </c>
      <c r="B148" s="4" t="s">
        <v>148</v>
      </c>
      <c r="C148" s="4" t="s">
        <v>38</v>
      </c>
      <c r="D148" s="121">
        <v>35</v>
      </c>
      <c r="E148" s="4" t="s">
        <v>4</v>
      </c>
      <c r="F148" s="64" t="s">
        <v>4</v>
      </c>
      <c r="G148" s="119"/>
      <c r="H148" s="120">
        <v>46154</v>
      </c>
    </row>
    <row r="149" spans="1:8" ht="15.75" x14ac:dyDescent="0.25">
      <c r="A149" s="5" t="s">
        <v>1178</v>
      </c>
      <c r="B149" s="4" t="s">
        <v>148</v>
      </c>
      <c r="C149" s="4" t="s">
        <v>38</v>
      </c>
      <c r="D149" s="12">
        <v>280</v>
      </c>
      <c r="E149" s="4" t="s">
        <v>4</v>
      </c>
      <c r="F149" s="64" t="s">
        <v>4</v>
      </c>
      <c r="G149" s="119"/>
      <c r="H149" s="120">
        <v>46154</v>
      </c>
    </row>
    <row r="150" spans="1:8" ht="15.75" x14ac:dyDescent="0.25">
      <c r="A150" s="5" t="s">
        <v>1179</v>
      </c>
      <c r="B150" s="4" t="s">
        <v>148</v>
      </c>
      <c r="C150" s="4" t="s">
        <v>38</v>
      </c>
      <c r="D150" s="121">
        <v>74.849999999999994</v>
      </c>
      <c r="E150" s="4" t="s">
        <v>4</v>
      </c>
      <c r="F150" s="64" t="s">
        <v>4</v>
      </c>
      <c r="G150" s="119"/>
      <c r="H150" s="120">
        <v>46154</v>
      </c>
    </row>
    <row r="151" spans="1:8" ht="15.75" x14ac:dyDescent="0.25">
      <c r="A151" s="5" t="s">
        <v>1180</v>
      </c>
      <c r="B151" s="4" t="s">
        <v>148</v>
      </c>
      <c r="C151" s="4" t="s">
        <v>38</v>
      </c>
      <c r="D151" s="12">
        <v>130</v>
      </c>
      <c r="E151" s="4" t="s">
        <v>4</v>
      </c>
      <c r="F151" s="64" t="s">
        <v>4</v>
      </c>
      <c r="G151" s="53" t="s">
        <v>69</v>
      </c>
      <c r="H151" s="11">
        <v>46154</v>
      </c>
    </row>
    <row r="152" spans="1:8" ht="15.75" x14ac:dyDescent="0.25">
      <c r="A152" s="5" t="s">
        <v>1173</v>
      </c>
      <c r="B152" s="4" t="s">
        <v>148</v>
      </c>
      <c r="C152" s="4" t="s">
        <v>38</v>
      </c>
      <c r="D152" s="12">
        <v>12506.49</v>
      </c>
      <c r="E152" s="4" t="s">
        <v>4</v>
      </c>
      <c r="F152" s="64" t="s">
        <v>4</v>
      </c>
      <c r="G152" s="53" t="s">
        <v>69</v>
      </c>
      <c r="H152" s="11">
        <v>46155</v>
      </c>
    </row>
    <row r="153" spans="1:8" ht="15.75" x14ac:dyDescent="0.25">
      <c r="A153" s="5" t="s">
        <v>898</v>
      </c>
      <c r="B153" s="4" t="s">
        <v>148</v>
      </c>
      <c r="C153" s="4" t="s">
        <v>38</v>
      </c>
      <c r="D153" s="12">
        <f>181+195+210+207.01</f>
        <v>793.01</v>
      </c>
      <c r="E153" s="4" t="s">
        <v>4</v>
      </c>
      <c r="F153" s="64" t="s">
        <v>4</v>
      </c>
      <c r="G153" s="53" t="s">
        <v>69</v>
      </c>
      <c r="H153" s="11">
        <v>46154</v>
      </c>
    </row>
    <row r="154" spans="1:8" ht="15.75" x14ac:dyDescent="0.25">
      <c r="A154" s="5" t="s">
        <v>1181</v>
      </c>
      <c r="B154" s="4" t="s">
        <v>148</v>
      </c>
      <c r="C154" s="4" t="s">
        <v>38</v>
      </c>
      <c r="D154" s="121">
        <v>120</v>
      </c>
      <c r="E154" s="4" t="s">
        <v>4</v>
      </c>
      <c r="F154" s="64" t="s">
        <v>4</v>
      </c>
      <c r="G154" s="119"/>
      <c r="H154" s="120">
        <v>46154</v>
      </c>
    </row>
    <row r="155" spans="1:8" ht="15.75" x14ac:dyDescent="0.25">
      <c r="A155" s="5" t="s">
        <v>1182</v>
      </c>
      <c r="B155" s="4" t="s">
        <v>15</v>
      </c>
      <c r="C155" s="4" t="s">
        <v>15</v>
      </c>
      <c r="D155" s="12">
        <v>1471</v>
      </c>
      <c r="E155" s="4" t="s">
        <v>4</v>
      </c>
      <c r="F155" s="64" t="s">
        <v>4</v>
      </c>
      <c r="G155" s="53" t="s">
        <v>69</v>
      </c>
      <c r="H155" s="11">
        <v>46154</v>
      </c>
    </row>
    <row r="156" spans="1:8" ht="15.75" x14ac:dyDescent="0.25">
      <c r="A156" s="5" t="s">
        <v>1183</v>
      </c>
      <c r="B156" s="4" t="s">
        <v>15</v>
      </c>
      <c r="C156" s="4" t="s">
        <v>15</v>
      </c>
      <c r="D156" s="121">
        <v>266.67</v>
      </c>
      <c r="E156" s="4" t="s">
        <v>4</v>
      </c>
      <c r="F156" s="64" t="s">
        <v>4</v>
      </c>
      <c r="G156" s="119"/>
      <c r="H156" s="120">
        <v>46154</v>
      </c>
    </row>
    <row r="157" spans="1:8" ht="15.75" x14ac:dyDescent="0.25">
      <c r="A157" s="5" t="s">
        <v>507</v>
      </c>
      <c r="B157" s="4" t="s">
        <v>15</v>
      </c>
      <c r="C157" s="4" t="s">
        <v>15</v>
      </c>
      <c r="D157" s="121">
        <v>257.33</v>
      </c>
      <c r="E157" s="4" t="s">
        <v>4</v>
      </c>
      <c r="F157" s="64" t="s">
        <v>4</v>
      </c>
      <c r="G157" s="119"/>
      <c r="H157" s="120">
        <v>46154</v>
      </c>
    </row>
    <row r="158" spans="1:8" ht="15.75" x14ac:dyDescent="0.25">
      <c r="A158" s="5" t="s">
        <v>1184</v>
      </c>
      <c r="B158" s="4" t="s">
        <v>15</v>
      </c>
      <c r="C158" s="4" t="s">
        <v>15</v>
      </c>
      <c r="D158" s="121">
        <v>86.67</v>
      </c>
      <c r="E158" s="4" t="s">
        <v>4</v>
      </c>
      <c r="F158" s="64" t="s">
        <v>4</v>
      </c>
      <c r="G158" s="119"/>
      <c r="H158" s="120">
        <v>46154</v>
      </c>
    </row>
    <row r="159" spans="1:8" ht="15.75" x14ac:dyDescent="0.25">
      <c r="A159" s="5" t="s">
        <v>1185</v>
      </c>
      <c r="B159" s="4" t="s">
        <v>148</v>
      </c>
      <c r="C159" s="4" t="s">
        <v>38</v>
      </c>
      <c r="D159" s="121">
        <v>419.3</v>
      </c>
      <c r="E159" s="4" t="s">
        <v>4</v>
      </c>
      <c r="F159" s="64" t="s">
        <v>4</v>
      </c>
      <c r="G159" s="119"/>
      <c r="H159" s="120">
        <v>46154</v>
      </c>
    </row>
    <row r="160" spans="1:8" ht="15.75" x14ac:dyDescent="0.25">
      <c r="A160" s="5" t="s">
        <v>77</v>
      </c>
      <c r="B160" s="4" t="s">
        <v>148</v>
      </c>
      <c r="C160" s="4" t="s">
        <v>38</v>
      </c>
      <c r="D160" s="33">
        <v>29</v>
      </c>
      <c r="E160" s="4" t="s">
        <v>4</v>
      </c>
      <c r="F160" s="64" t="s">
        <v>4</v>
      </c>
      <c r="G160" s="84"/>
      <c r="H160" s="85">
        <v>46154</v>
      </c>
    </row>
    <row r="161" spans="1:12" ht="15.75" x14ac:dyDescent="0.25">
      <c r="A161" s="5" t="s">
        <v>1175</v>
      </c>
      <c r="B161" s="4" t="s">
        <v>967</v>
      </c>
      <c r="C161" s="4" t="s">
        <v>38</v>
      </c>
      <c r="D161" s="33">
        <v>10</v>
      </c>
      <c r="E161" s="4" t="s">
        <v>4</v>
      </c>
      <c r="F161" s="64" t="s">
        <v>4</v>
      </c>
      <c r="G161" s="84"/>
      <c r="H161" s="85">
        <v>46154</v>
      </c>
      <c r="K161" s="26"/>
      <c r="L161" s="26"/>
    </row>
    <row r="162" spans="1:12" ht="15.75" x14ac:dyDescent="0.25">
      <c r="A162" s="5" t="s">
        <v>959</v>
      </c>
      <c r="B162" s="4" t="s">
        <v>148</v>
      </c>
      <c r="C162" s="4" t="s">
        <v>38</v>
      </c>
      <c r="D162" s="121">
        <v>150</v>
      </c>
      <c r="E162" s="4" t="s">
        <v>4</v>
      </c>
      <c r="F162" s="64" t="s">
        <v>4</v>
      </c>
      <c r="G162" s="119"/>
      <c r="H162" s="120">
        <v>46154</v>
      </c>
      <c r="L162" s="26"/>
    </row>
    <row r="163" spans="1:12" ht="15.75" x14ac:dyDescent="0.25">
      <c r="A163" s="5" t="s">
        <v>1186</v>
      </c>
      <c r="B163" s="4" t="s">
        <v>15</v>
      </c>
      <c r="C163" s="4" t="s">
        <v>15</v>
      </c>
      <c r="D163" s="123">
        <v>-1725</v>
      </c>
      <c r="E163" s="4" t="s">
        <v>4</v>
      </c>
      <c r="F163" s="64" t="s">
        <v>4</v>
      </c>
      <c r="G163" s="119"/>
      <c r="H163" s="120">
        <v>46155</v>
      </c>
    </row>
    <row r="164" spans="1:12" ht="15.75" x14ac:dyDescent="0.25">
      <c r="A164" s="5" t="s">
        <v>1187</v>
      </c>
      <c r="B164" s="4" t="s">
        <v>15</v>
      </c>
      <c r="C164" s="4" t="s">
        <v>15</v>
      </c>
      <c r="D164" s="121">
        <v>2100</v>
      </c>
      <c r="E164" s="4" t="s">
        <v>4</v>
      </c>
      <c r="F164" s="64" t="s">
        <v>4</v>
      </c>
      <c r="G164" s="119"/>
      <c r="H164" s="120">
        <v>46155</v>
      </c>
    </row>
    <row r="165" spans="1:12" ht="15.75" x14ac:dyDescent="0.25">
      <c r="A165" s="5" t="s">
        <v>1199</v>
      </c>
      <c r="B165" s="4" t="s">
        <v>148</v>
      </c>
      <c r="C165" s="4" t="s">
        <v>38</v>
      </c>
      <c r="D165" s="121">
        <v>1006.25</v>
      </c>
      <c r="E165" s="4" t="s">
        <v>4</v>
      </c>
      <c r="F165" s="64" t="s">
        <v>4</v>
      </c>
      <c r="G165" s="119"/>
      <c r="H165" s="120">
        <v>46155</v>
      </c>
    </row>
    <row r="166" spans="1:12" ht="15.75" x14ac:dyDescent="0.25">
      <c r="A166" s="5" t="s">
        <v>1188</v>
      </c>
      <c r="B166" s="4" t="s">
        <v>15</v>
      </c>
      <c r="C166" s="4" t="s">
        <v>15</v>
      </c>
      <c r="D166" s="123">
        <v>-1725</v>
      </c>
      <c r="E166" s="4" t="s">
        <v>4</v>
      </c>
      <c r="F166" s="64" t="s">
        <v>4</v>
      </c>
      <c r="G166" s="119"/>
      <c r="H166" s="120">
        <v>46155</v>
      </c>
    </row>
    <row r="167" spans="1:12" ht="15.75" x14ac:dyDescent="0.25">
      <c r="A167" s="5" t="s">
        <v>1189</v>
      </c>
      <c r="B167" s="4" t="s">
        <v>15</v>
      </c>
      <c r="C167" s="4" t="s">
        <v>15</v>
      </c>
      <c r="D167" s="12">
        <v>2100</v>
      </c>
      <c r="E167" s="4" t="s">
        <v>4</v>
      </c>
      <c r="F167" s="64" t="s">
        <v>4</v>
      </c>
      <c r="G167" s="53" t="s">
        <v>69</v>
      </c>
      <c r="H167" s="11">
        <v>46155</v>
      </c>
    </row>
    <row r="168" spans="1:12" ht="15.75" x14ac:dyDescent="0.25">
      <c r="A168" s="5" t="s">
        <v>1198</v>
      </c>
      <c r="B168" s="4" t="s">
        <v>148</v>
      </c>
      <c r="C168" s="4" t="s">
        <v>38</v>
      </c>
      <c r="D168" s="121">
        <v>356.99</v>
      </c>
      <c r="E168" s="4" t="s">
        <v>4</v>
      </c>
      <c r="F168" s="64" t="s">
        <v>4</v>
      </c>
      <c r="G168" s="119"/>
      <c r="H168" s="120">
        <v>46155</v>
      </c>
    </row>
    <row r="169" spans="1:12" ht="15.75" x14ac:dyDescent="0.25">
      <c r="A169" s="5" t="s">
        <v>1003</v>
      </c>
      <c r="B169" s="4" t="s">
        <v>148</v>
      </c>
      <c r="C169" s="4" t="s">
        <v>38</v>
      </c>
      <c r="D169" s="121">
        <v>200</v>
      </c>
      <c r="E169" s="4" t="s">
        <v>4</v>
      </c>
      <c r="F169" s="64" t="s">
        <v>4</v>
      </c>
      <c r="G169" s="119"/>
      <c r="H169" s="120">
        <v>46155</v>
      </c>
    </row>
    <row r="170" spans="1:12" ht="15.75" x14ac:dyDescent="0.25">
      <c r="A170" s="5" t="s">
        <v>1200</v>
      </c>
      <c r="B170" s="4" t="s">
        <v>148</v>
      </c>
      <c r="C170" s="4" t="s">
        <v>38</v>
      </c>
      <c r="D170" s="121">
        <f>1621/2</f>
        <v>810.5</v>
      </c>
      <c r="E170" s="4" t="s">
        <v>4</v>
      </c>
      <c r="F170" s="64" t="s">
        <v>4</v>
      </c>
      <c r="G170" s="119"/>
      <c r="H170" s="120">
        <v>46155</v>
      </c>
    </row>
    <row r="171" spans="1:12" ht="15.75" x14ac:dyDescent="0.25">
      <c r="A171" s="5" t="s">
        <v>1201</v>
      </c>
      <c r="B171" s="4" t="s">
        <v>148</v>
      </c>
      <c r="C171" s="4" t="s">
        <v>38</v>
      </c>
      <c r="D171" s="121">
        <v>27</v>
      </c>
      <c r="E171" s="4" t="s">
        <v>4</v>
      </c>
      <c r="F171" s="64" t="s">
        <v>4</v>
      </c>
      <c r="G171" s="119"/>
      <c r="H171" s="120">
        <v>46155</v>
      </c>
    </row>
    <row r="172" spans="1:12" ht="15.75" x14ac:dyDescent="0.25">
      <c r="A172" s="5" t="s">
        <v>422</v>
      </c>
      <c r="B172" s="4" t="s">
        <v>148</v>
      </c>
      <c r="C172" s="4" t="s">
        <v>38</v>
      </c>
      <c r="D172" s="121">
        <v>250</v>
      </c>
      <c r="E172" s="4" t="s">
        <v>4</v>
      </c>
      <c r="F172" s="64" t="s">
        <v>4</v>
      </c>
      <c r="G172" s="119"/>
      <c r="H172" s="120">
        <v>46156</v>
      </c>
    </row>
    <row r="173" spans="1:12" ht="15.75" x14ac:dyDescent="0.25">
      <c r="A173" s="5" t="s">
        <v>1203</v>
      </c>
      <c r="B173" s="4" t="s">
        <v>148</v>
      </c>
      <c r="C173" s="4" t="s">
        <v>39</v>
      </c>
      <c r="D173" s="12">
        <v>245</v>
      </c>
      <c r="E173" s="4" t="s">
        <v>4</v>
      </c>
      <c r="F173" s="64" t="s">
        <v>4</v>
      </c>
      <c r="G173" s="53" t="s">
        <v>69</v>
      </c>
      <c r="H173" s="11">
        <v>46156</v>
      </c>
    </row>
    <row r="174" spans="1:12" ht="15.75" x14ac:dyDescent="0.25">
      <c r="A174" s="5" t="s">
        <v>1207</v>
      </c>
      <c r="B174" s="4" t="s">
        <v>148</v>
      </c>
      <c r="C174" s="4" t="s">
        <v>39</v>
      </c>
      <c r="D174" s="12">
        <v>13.7</v>
      </c>
      <c r="E174" s="4" t="s">
        <v>4</v>
      </c>
      <c r="F174" s="64" t="s">
        <v>4</v>
      </c>
      <c r="G174" s="53" t="s">
        <v>69</v>
      </c>
      <c r="H174" s="11">
        <v>46156</v>
      </c>
    </row>
    <row r="175" spans="1:12" ht="15.75" x14ac:dyDescent="0.25">
      <c r="A175" s="5" t="s">
        <v>1208</v>
      </c>
      <c r="B175" s="4" t="s">
        <v>148</v>
      </c>
      <c r="C175" s="4" t="s">
        <v>38</v>
      </c>
      <c r="D175" s="121">
        <v>401.7</v>
      </c>
      <c r="E175" s="4" t="s">
        <v>4</v>
      </c>
      <c r="F175" s="64" t="s">
        <v>4</v>
      </c>
      <c r="G175" s="119"/>
      <c r="H175" s="120">
        <v>46157</v>
      </c>
    </row>
    <row r="176" spans="1:12" ht="15.75" x14ac:dyDescent="0.25">
      <c r="A176" s="5" t="s">
        <v>1209</v>
      </c>
      <c r="B176" s="4" t="s">
        <v>148</v>
      </c>
      <c r="C176" s="4" t="s">
        <v>38</v>
      </c>
      <c r="D176" s="12">
        <v>79.989999999999995</v>
      </c>
      <c r="E176" s="4" t="s">
        <v>4</v>
      </c>
      <c r="F176" s="64" t="s">
        <v>4</v>
      </c>
      <c r="G176" s="23"/>
      <c r="H176" s="120">
        <v>46156</v>
      </c>
    </row>
    <row r="177" spans="1:14" ht="15.75" x14ac:dyDescent="0.25">
      <c r="A177" s="5" t="s">
        <v>1210</v>
      </c>
      <c r="B177" s="4" t="s">
        <v>148</v>
      </c>
      <c r="C177" s="4" t="s">
        <v>38</v>
      </c>
      <c r="D177" s="12">
        <v>5120</v>
      </c>
      <c r="E177" s="4" t="s">
        <v>4</v>
      </c>
      <c r="F177" s="64" t="s">
        <v>4</v>
      </c>
      <c r="G177" s="23" t="s">
        <v>69</v>
      </c>
      <c r="H177" s="11">
        <v>46157</v>
      </c>
    </row>
    <row r="178" spans="1:14" ht="15.75" x14ac:dyDescent="0.25">
      <c r="A178" s="5" t="s">
        <v>1211</v>
      </c>
      <c r="B178" s="4" t="s">
        <v>148</v>
      </c>
      <c r="C178" s="4" t="s">
        <v>38</v>
      </c>
      <c r="D178" s="12">
        <v>120</v>
      </c>
      <c r="E178" s="4" t="s">
        <v>4</v>
      </c>
      <c r="F178" s="64" t="s">
        <v>4</v>
      </c>
      <c r="G178" s="23"/>
      <c r="H178" s="11">
        <v>46157</v>
      </c>
    </row>
    <row r="179" spans="1:14" ht="15.75" x14ac:dyDescent="0.25">
      <c r="A179" s="5" t="s">
        <v>1198</v>
      </c>
      <c r="B179" s="4" t="s">
        <v>148</v>
      </c>
      <c r="C179" s="4" t="s">
        <v>38</v>
      </c>
      <c r="D179" s="12">
        <v>20</v>
      </c>
      <c r="E179" s="4" t="s">
        <v>4</v>
      </c>
      <c r="F179" s="64" t="s">
        <v>4</v>
      </c>
      <c r="G179" s="23" t="s">
        <v>69</v>
      </c>
      <c r="H179" s="11">
        <v>46157</v>
      </c>
      <c r="J179" s="76"/>
      <c r="K179" s="77"/>
      <c r="L179" s="76"/>
      <c r="M179" s="76"/>
      <c r="N179" s="76"/>
    </row>
    <row r="180" spans="1:14" ht="15.75" x14ac:dyDescent="0.25">
      <c r="A180" s="126" t="s">
        <v>1214</v>
      </c>
      <c r="B180" s="4" t="s">
        <v>15</v>
      </c>
      <c r="C180" s="4" t="s">
        <v>15</v>
      </c>
      <c r="D180" s="121">
        <v>1050</v>
      </c>
      <c r="E180" s="4" t="s">
        <v>4</v>
      </c>
      <c r="F180" s="64" t="s">
        <v>4</v>
      </c>
      <c r="G180" s="23" t="s">
        <v>69</v>
      </c>
      <c r="H180" s="120">
        <v>46157</v>
      </c>
      <c r="J180" s="76"/>
      <c r="K180" s="76"/>
      <c r="L180" s="76"/>
      <c r="M180" s="76"/>
      <c r="N180" s="76"/>
    </row>
    <row r="181" spans="1:14" ht="15.75" x14ac:dyDescent="0.25">
      <c r="A181" s="5" t="s">
        <v>1212</v>
      </c>
      <c r="B181" s="4" t="s">
        <v>15</v>
      </c>
      <c r="C181" s="4" t="s">
        <v>15</v>
      </c>
      <c r="D181" s="121">
        <v>150</v>
      </c>
      <c r="E181" s="4" t="s">
        <v>4</v>
      </c>
      <c r="F181" s="64" t="s">
        <v>4</v>
      </c>
      <c r="G181" s="119"/>
      <c r="H181" s="120">
        <v>46157</v>
      </c>
      <c r="J181" s="76"/>
      <c r="K181" s="76"/>
      <c r="L181" s="76"/>
      <c r="M181" s="76"/>
      <c r="N181" s="76"/>
    </row>
    <row r="182" spans="1:14" ht="15.75" x14ac:dyDescent="0.25">
      <c r="A182" s="5" t="s">
        <v>1213</v>
      </c>
      <c r="B182" s="4" t="s">
        <v>15</v>
      </c>
      <c r="C182" s="4" t="s">
        <v>15</v>
      </c>
      <c r="D182" s="121">
        <v>150</v>
      </c>
      <c r="E182" s="4" t="s">
        <v>4</v>
      </c>
      <c r="F182" s="64" t="s">
        <v>4</v>
      </c>
      <c r="G182" s="119"/>
      <c r="H182" s="120">
        <v>46157</v>
      </c>
      <c r="J182" s="76"/>
      <c r="K182" s="76"/>
      <c r="L182" s="76"/>
      <c r="M182" s="76"/>
      <c r="N182" s="76"/>
    </row>
    <row r="183" spans="1:14" ht="15.75" x14ac:dyDescent="0.25">
      <c r="A183" s="5" t="s">
        <v>1222</v>
      </c>
      <c r="B183" s="4" t="s">
        <v>15</v>
      </c>
      <c r="C183" s="4" t="s">
        <v>15</v>
      </c>
      <c r="D183" s="121">
        <v>300</v>
      </c>
      <c r="E183" s="4" t="s">
        <v>4</v>
      </c>
      <c r="F183" s="64" t="s">
        <v>4</v>
      </c>
      <c r="G183" s="119"/>
      <c r="H183" s="120">
        <v>46157</v>
      </c>
      <c r="J183" s="76"/>
      <c r="K183" s="76"/>
      <c r="L183" s="76"/>
      <c r="M183" s="76"/>
      <c r="N183" s="76"/>
    </row>
    <row r="184" spans="1:14" ht="15.75" x14ac:dyDescent="0.25">
      <c r="A184" s="5" t="s">
        <v>1215</v>
      </c>
      <c r="B184" s="4" t="s">
        <v>15</v>
      </c>
      <c r="C184" s="4" t="s">
        <v>15</v>
      </c>
      <c r="D184" s="121">
        <v>500</v>
      </c>
      <c r="E184" s="4" t="s">
        <v>4</v>
      </c>
      <c r="F184" s="64" t="s">
        <v>4</v>
      </c>
      <c r="G184" s="119"/>
      <c r="H184" s="120">
        <v>46157</v>
      </c>
      <c r="J184" s="76"/>
      <c r="K184" s="76"/>
      <c r="L184" s="76"/>
      <c r="M184" s="76"/>
      <c r="N184" s="76"/>
    </row>
    <row r="185" spans="1:14" ht="15.75" x14ac:dyDescent="0.25">
      <c r="A185" s="5" t="s">
        <v>1221</v>
      </c>
      <c r="B185" s="4" t="s">
        <v>15</v>
      </c>
      <c r="C185" s="4" t="s">
        <v>15</v>
      </c>
      <c r="D185" s="121">
        <v>200</v>
      </c>
      <c r="E185" s="4" t="s">
        <v>4</v>
      </c>
      <c r="F185" s="64" t="s">
        <v>4</v>
      </c>
      <c r="G185" s="119"/>
      <c r="H185" s="120">
        <v>46157</v>
      </c>
      <c r="J185" s="76"/>
      <c r="K185" s="76"/>
      <c r="L185" s="76"/>
      <c r="M185" s="76"/>
      <c r="N185" s="76"/>
    </row>
    <row r="186" spans="1:14" ht="15.75" x14ac:dyDescent="0.25">
      <c r="A186" s="5" t="s">
        <v>1216</v>
      </c>
      <c r="B186" s="4" t="s">
        <v>15</v>
      </c>
      <c r="C186" s="4" t="s">
        <v>15</v>
      </c>
      <c r="D186" s="121">
        <v>550</v>
      </c>
      <c r="E186" s="4" t="s">
        <v>4</v>
      </c>
      <c r="F186" s="64" t="s">
        <v>4</v>
      </c>
      <c r="G186" s="119"/>
      <c r="H186" s="120">
        <v>46157</v>
      </c>
      <c r="J186" s="76"/>
      <c r="K186" s="76"/>
      <c r="L186" s="76"/>
      <c r="M186" s="76"/>
      <c r="N186" s="76"/>
    </row>
    <row r="187" spans="1:14" ht="15.75" x14ac:dyDescent="0.25">
      <c r="A187" s="5" t="s">
        <v>1218</v>
      </c>
      <c r="B187" s="4" t="s">
        <v>15</v>
      </c>
      <c r="C187" s="4" t="s">
        <v>15</v>
      </c>
      <c r="D187" s="121">
        <f>50+150+50+150</f>
        <v>400</v>
      </c>
      <c r="E187" s="4" t="s">
        <v>4</v>
      </c>
      <c r="F187" s="64" t="s">
        <v>4</v>
      </c>
      <c r="G187" s="119"/>
      <c r="H187" s="120">
        <v>46157</v>
      </c>
      <c r="J187" s="76"/>
      <c r="K187" s="76"/>
      <c r="L187" s="76"/>
      <c r="M187" s="76"/>
      <c r="N187" s="76"/>
    </row>
    <row r="188" spans="1:14" ht="15.75" x14ac:dyDescent="0.25">
      <c r="A188" s="5" t="s">
        <v>1217</v>
      </c>
      <c r="B188" s="4" t="s">
        <v>15</v>
      </c>
      <c r="C188" s="4" t="s">
        <v>15</v>
      </c>
      <c r="D188" s="121">
        <v>150</v>
      </c>
      <c r="E188" s="4" t="s">
        <v>4</v>
      </c>
      <c r="F188" s="64" t="s">
        <v>4</v>
      </c>
      <c r="G188" s="119"/>
      <c r="H188" s="120">
        <v>46157</v>
      </c>
      <c r="J188" s="76"/>
      <c r="K188" s="76"/>
      <c r="L188" s="76"/>
      <c r="M188" s="76"/>
      <c r="N188" s="76"/>
    </row>
    <row r="189" spans="1:14" ht="15.75" x14ac:dyDescent="0.25">
      <c r="A189" s="5" t="s">
        <v>1219</v>
      </c>
      <c r="B189" s="4" t="s">
        <v>15</v>
      </c>
      <c r="C189" s="4" t="s">
        <v>15</v>
      </c>
      <c r="D189" s="121">
        <v>300</v>
      </c>
      <c r="E189" s="4" t="s">
        <v>4</v>
      </c>
      <c r="F189" s="64" t="s">
        <v>4</v>
      </c>
      <c r="G189" s="119"/>
      <c r="H189" s="120">
        <v>46157</v>
      </c>
    </row>
    <row r="190" spans="1:14" ht="15.75" x14ac:dyDescent="0.25">
      <c r="A190" s="5" t="s">
        <v>1220</v>
      </c>
      <c r="B190" s="4" t="s">
        <v>15</v>
      </c>
      <c r="C190" s="4" t="s">
        <v>15</v>
      </c>
      <c r="D190" s="121">
        <v>150</v>
      </c>
      <c r="E190" s="4" t="s">
        <v>4</v>
      </c>
      <c r="F190" s="64" t="s">
        <v>4</v>
      </c>
      <c r="G190" s="119"/>
      <c r="H190" s="120">
        <v>46157</v>
      </c>
    </row>
    <row r="191" spans="1:14" ht="15.75" x14ac:dyDescent="0.25">
      <c r="A191" s="5" t="s">
        <v>1223</v>
      </c>
      <c r="B191" s="4" t="s">
        <v>148</v>
      </c>
      <c r="C191" s="4" t="s">
        <v>39</v>
      </c>
      <c r="D191" s="121">
        <v>245</v>
      </c>
      <c r="E191" s="4" t="s">
        <v>4</v>
      </c>
      <c r="F191" s="64" t="s">
        <v>4</v>
      </c>
      <c r="G191" s="119"/>
      <c r="H191" s="120">
        <v>46157</v>
      </c>
    </row>
    <row r="192" spans="1:14" ht="15.75" x14ac:dyDescent="0.25">
      <c r="A192" s="5" t="s">
        <v>1224</v>
      </c>
      <c r="B192" s="4" t="s">
        <v>15</v>
      </c>
      <c r="C192" s="4" t="s">
        <v>15</v>
      </c>
      <c r="D192" s="121">
        <v>150</v>
      </c>
      <c r="E192" s="117"/>
      <c r="F192" s="64" t="s">
        <v>115</v>
      </c>
      <c r="G192" s="119"/>
      <c r="H192" s="120">
        <v>46157</v>
      </c>
    </row>
    <row r="193" spans="1:12" ht="15.75" x14ac:dyDescent="0.25">
      <c r="A193" s="5" t="s">
        <v>1213</v>
      </c>
      <c r="B193" s="4" t="s">
        <v>15</v>
      </c>
      <c r="C193" s="4" t="s">
        <v>15</v>
      </c>
      <c r="D193" s="121">
        <v>150</v>
      </c>
      <c r="E193" s="117"/>
      <c r="F193" s="64" t="s">
        <v>115</v>
      </c>
      <c r="G193" s="119"/>
      <c r="H193" s="11" t="s">
        <v>1227</v>
      </c>
      <c r="L193" s="26"/>
    </row>
    <row r="194" spans="1:12" ht="15.75" x14ac:dyDescent="0.25">
      <c r="A194" s="5" t="s">
        <v>69</v>
      </c>
      <c r="B194" s="4" t="s">
        <v>69</v>
      </c>
      <c r="C194" s="4" t="s">
        <v>69</v>
      </c>
      <c r="D194" s="12" t="s">
        <v>69</v>
      </c>
      <c r="E194" s="4" t="s">
        <v>69</v>
      </c>
      <c r="F194" s="64" t="s">
        <v>69</v>
      </c>
      <c r="G194" s="23" t="s">
        <v>69</v>
      </c>
      <c r="H194" s="11" t="s">
        <v>69</v>
      </c>
    </row>
    <row r="195" spans="1:12" ht="15.75" x14ac:dyDescent="0.25">
      <c r="A195" s="5" t="s">
        <v>1225</v>
      </c>
      <c r="B195" s="4" t="s">
        <v>148</v>
      </c>
      <c r="C195" s="4" t="s">
        <v>38</v>
      </c>
      <c r="D195" s="14">
        <v>130</v>
      </c>
      <c r="E195" s="4" t="s">
        <v>69</v>
      </c>
      <c r="F195" s="64" t="s">
        <v>115</v>
      </c>
      <c r="G195" s="23" t="s">
        <v>69</v>
      </c>
      <c r="H195" s="11" t="s">
        <v>69</v>
      </c>
    </row>
    <row r="196" spans="1:12" ht="15.75" x14ac:dyDescent="0.25">
      <c r="A196" s="5" t="s">
        <v>1226</v>
      </c>
      <c r="B196" s="4" t="s">
        <v>148</v>
      </c>
      <c r="C196" s="4" t="s">
        <v>38</v>
      </c>
      <c r="D196" s="121">
        <v>13.7</v>
      </c>
      <c r="E196" s="117"/>
      <c r="F196" s="64" t="s">
        <v>115</v>
      </c>
      <c r="G196" s="119"/>
      <c r="H196" s="120"/>
    </row>
    <row r="197" spans="1:12" ht="15.75" x14ac:dyDescent="0.25">
      <c r="A197" s="5" t="s">
        <v>1206</v>
      </c>
      <c r="B197" s="4" t="s">
        <v>141</v>
      </c>
      <c r="C197" s="4" t="s">
        <v>39</v>
      </c>
      <c r="D197" s="13">
        <v>861.75</v>
      </c>
      <c r="E197" s="4" t="s">
        <v>4</v>
      </c>
      <c r="F197" s="64" t="s">
        <v>1205</v>
      </c>
      <c r="G197" s="53" t="s">
        <v>93</v>
      </c>
      <c r="H197" s="11" t="s">
        <v>69</v>
      </c>
    </row>
    <row r="198" spans="1:12" ht="15.75" x14ac:dyDescent="0.25">
      <c r="A198" s="5" t="s">
        <v>1204</v>
      </c>
      <c r="B198" s="4" t="s">
        <v>141</v>
      </c>
      <c r="C198" s="4" t="s">
        <v>39</v>
      </c>
      <c r="D198" s="12">
        <v>902.72</v>
      </c>
      <c r="E198" s="4" t="s">
        <v>69</v>
      </c>
      <c r="F198" s="64" t="s">
        <v>1205</v>
      </c>
      <c r="G198" s="23" t="s">
        <v>97</v>
      </c>
      <c r="H198" s="11" t="s">
        <v>69</v>
      </c>
    </row>
    <row r="199" spans="1:12" ht="15.75" x14ac:dyDescent="0.25">
      <c r="A199" s="5" t="s">
        <v>69</v>
      </c>
      <c r="B199" s="4" t="s">
        <v>69</v>
      </c>
      <c r="C199" s="4" t="s">
        <v>946</v>
      </c>
      <c r="D199" s="12" t="s">
        <v>69</v>
      </c>
      <c r="E199" s="4" t="s">
        <v>69</v>
      </c>
      <c r="F199" s="64" t="s">
        <v>69</v>
      </c>
      <c r="G199" s="23" t="s">
        <v>69</v>
      </c>
      <c r="H199" s="11" t="s">
        <v>69</v>
      </c>
    </row>
    <row r="200" spans="1:12" ht="15.75" x14ac:dyDescent="0.25">
      <c r="A200" s="5" t="s">
        <v>69</v>
      </c>
      <c r="B200" s="4" t="s">
        <v>69</v>
      </c>
      <c r="C200" s="4" t="s">
        <v>69</v>
      </c>
      <c r="D200" s="12" t="s">
        <v>69</v>
      </c>
      <c r="E200" s="4" t="s">
        <v>69</v>
      </c>
      <c r="F200" s="64" t="s">
        <v>69</v>
      </c>
      <c r="G200" s="119"/>
      <c r="H200" s="11" t="s">
        <v>69</v>
      </c>
    </row>
    <row r="201" spans="1:12" ht="15.75" x14ac:dyDescent="0.25">
      <c r="A201" s="5" t="s">
        <v>69</v>
      </c>
      <c r="B201" s="4" t="s">
        <v>69</v>
      </c>
      <c r="C201" s="4" t="s">
        <v>946</v>
      </c>
      <c r="D201" s="12" t="s">
        <v>69</v>
      </c>
      <c r="E201" s="4" t="s">
        <v>69</v>
      </c>
      <c r="F201" s="64" t="s">
        <v>69</v>
      </c>
      <c r="G201" s="119"/>
      <c r="H201" s="11" t="s">
        <v>69</v>
      </c>
    </row>
    <row r="202" spans="1:12" ht="15.75" x14ac:dyDescent="0.25">
      <c r="A202" s="5" t="s">
        <v>69</v>
      </c>
      <c r="B202" s="4" t="s">
        <v>69</v>
      </c>
      <c r="C202" s="4" t="s">
        <v>69</v>
      </c>
      <c r="D202" s="12" t="s">
        <v>69</v>
      </c>
      <c r="E202" s="4" t="s">
        <v>69</v>
      </c>
      <c r="F202" s="64" t="s">
        <v>69</v>
      </c>
      <c r="G202" s="119"/>
      <c r="H202" s="11" t="s">
        <v>69</v>
      </c>
    </row>
    <row r="203" spans="1:12" ht="15.75" x14ac:dyDescent="0.25">
      <c r="A203" s="5"/>
      <c r="B203" s="4"/>
      <c r="C203" s="4"/>
      <c r="D203" s="121"/>
      <c r="E203" s="4"/>
      <c r="F203" s="64"/>
      <c r="G203" s="119"/>
      <c r="H203" s="120"/>
    </row>
    <row r="204" spans="1:12" ht="15.75" x14ac:dyDescent="0.25">
      <c r="A204" s="5"/>
      <c r="B204" s="4"/>
      <c r="C204" s="4"/>
      <c r="D204" s="12"/>
      <c r="E204" s="4"/>
      <c r="F204" s="64"/>
      <c r="G204" s="119"/>
      <c r="H204" s="120"/>
    </row>
    <row r="205" spans="1:12" ht="15.75" x14ac:dyDescent="0.25">
      <c r="A205" s="5"/>
      <c r="B205" s="4"/>
      <c r="C205" s="4"/>
      <c r="D205" s="12" t="s">
        <v>69</v>
      </c>
      <c r="E205" s="4"/>
      <c r="F205" s="64"/>
      <c r="G205" s="119"/>
      <c r="H205" s="120"/>
    </row>
    <row r="206" spans="1:12" ht="15.75" x14ac:dyDescent="0.25">
      <c r="A206" s="5" t="s">
        <v>69</v>
      </c>
      <c r="B206" s="4" t="s">
        <v>69</v>
      </c>
      <c r="C206" s="4" t="s">
        <v>69</v>
      </c>
      <c r="D206" s="12" t="s">
        <v>69</v>
      </c>
      <c r="E206" s="4" t="s">
        <v>69</v>
      </c>
      <c r="F206" s="64" t="s">
        <v>69</v>
      </c>
      <c r="G206" s="23" t="s">
        <v>69</v>
      </c>
      <c r="H206" s="11" t="s">
        <v>69</v>
      </c>
    </row>
    <row r="207" spans="1:12" ht="15.75" x14ac:dyDescent="0.25">
      <c r="A207" s="5" t="s">
        <v>69</v>
      </c>
      <c r="B207" s="4" t="s">
        <v>69</v>
      </c>
      <c r="C207" s="4" t="s">
        <v>69</v>
      </c>
      <c r="D207" s="12" t="s">
        <v>69</v>
      </c>
      <c r="E207" s="4" t="s">
        <v>69</v>
      </c>
      <c r="F207" s="64" t="s">
        <v>69</v>
      </c>
      <c r="G207" s="23" t="s">
        <v>69</v>
      </c>
      <c r="H207" s="11" t="s">
        <v>69</v>
      </c>
    </row>
    <row r="208" spans="1:12" ht="15.75" x14ac:dyDescent="0.25">
      <c r="A208" s="5"/>
      <c r="B208" s="4"/>
      <c r="C208" s="4"/>
      <c r="D208" s="12"/>
      <c r="E208" s="4"/>
      <c r="F208" s="64"/>
      <c r="G208" s="23"/>
      <c r="H208" s="11"/>
    </row>
    <row r="209" spans="1:8" ht="15.75" x14ac:dyDescent="0.25">
      <c r="A209" s="5" t="s">
        <v>69</v>
      </c>
      <c r="B209" s="4" t="s">
        <v>69</v>
      </c>
      <c r="C209" s="4" t="s">
        <v>69</v>
      </c>
      <c r="D209" s="12" t="s">
        <v>69</v>
      </c>
      <c r="E209" s="4" t="s">
        <v>69</v>
      </c>
      <c r="F209" s="64" t="s">
        <v>69</v>
      </c>
      <c r="G209" s="119"/>
      <c r="H209" s="11" t="s">
        <v>69</v>
      </c>
    </row>
    <row r="210" spans="1:8" ht="15.75" x14ac:dyDescent="0.25">
      <c r="A210" s="5" t="s">
        <v>69</v>
      </c>
      <c r="B210" s="4" t="s">
        <v>69</v>
      </c>
      <c r="C210" s="4" t="s">
        <v>69</v>
      </c>
      <c r="D210" s="12" t="s">
        <v>69</v>
      </c>
      <c r="E210" s="4" t="s">
        <v>69</v>
      </c>
      <c r="F210" s="64" t="s">
        <v>69</v>
      </c>
      <c r="G210" s="23"/>
      <c r="H210" s="11" t="s">
        <v>69</v>
      </c>
    </row>
    <row r="211" spans="1:8" ht="15.75" x14ac:dyDescent="0.25">
      <c r="A211" s="5" t="s">
        <v>69</v>
      </c>
      <c r="B211" s="4" t="s">
        <v>69</v>
      </c>
      <c r="C211" s="4" t="s">
        <v>69</v>
      </c>
      <c r="D211" s="12" t="s">
        <v>69</v>
      </c>
      <c r="E211" s="4" t="s">
        <v>69</v>
      </c>
      <c r="F211" s="64" t="s">
        <v>69</v>
      </c>
      <c r="G211" s="23"/>
      <c r="H211" s="11" t="s">
        <v>69</v>
      </c>
    </row>
    <row r="212" spans="1:8" ht="15.75" x14ac:dyDescent="0.25">
      <c r="A212" s="5" t="s">
        <v>941</v>
      </c>
      <c r="B212" s="4" t="s">
        <v>148</v>
      </c>
      <c r="C212" s="4" t="s">
        <v>38</v>
      </c>
      <c r="D212" s="121">
        <v>500</v>
      </c>
      <c r="E212" s="4" t="s">
        <v>4</v>
      </c>
      <c r="F212" s="64" t="s">
        <v>4</v>
      </c>
      <c r="G212" s="119"/>
      <c r="H212" s="11" t="s">
        <v>69</v>
      </c>
    </row>
    <row r="213" spans="1:8" ht="15.75" x14ac:dyDescent="0.25">
      <c r="A213" s="5" t="s">
        <v>69</v>
      </c>
      <c r="B213" s="4" t="s">
        <v>69</v>
      </c>
      <c r="C213" s="4" t="s">
        <v>69</v>
      </c>
      <c r="D213" s="12" t="s">
        <v>69</v>
      </c>
      <c r="E213" s="4" t="s">
        <v>69</v>
      </c>
      <c r="F213" s="64" t="s">
        <v>69</v>
      </c>
      <c r="G213" s="119"/>
      <c r="H213" s="11" t="s">
        <v>69</v>
      </c>
    </row>
    <row r="214" spans="1:8" ht="15" customHeight="1" x14ac:dyDescent="0.25">
      <c r="A214" s="5" t="s">
        <v>69</v>
      </c>
      <c r="B214" s="4" t="s">
        <v>69</v>
      </c>
      <c r="C214" s="4" t="s">
        <v>946</v>
      </c>
      <c r="D214" s="12" t="s">
        <v>69</v>
      </c>
      <c r="E214" s="4" t="s">
        <v>69</v>
      </c>
      <c r="F214" s="64" t="s">
        <v>69</v>
      </c>
      <c r="G214" s="119"/>
      <c r="H214" s="11" t="s">
        <v>946</v>
      </c>
    </row>
    <row r="215" spans="1:8" ht="15" customHeight="1" x14ac:dyDescent="0.25">
      <c r="A215" s="5" t="s">
        <v>69</v>
      </c>
      <c r="B215" s="4" t="s">
        <v>69</v>
      </c>
      <c r="C215" s="4" t="s">
        <v>69</v>
      </c>
      <c r="D215" s="12" t="s">
        <v>946</v>
      </c>
      <c r="E215" s="4" t="s">
        <v>69</v>
      </c>
      <c r="F215" s="64" t="s">
        <v>69</v>
      </c>
      <c r="G215" s="119"/>
      <c r="H215" s="11" t="s">
        <v>69</v>
      </c>
    </row>
    <row r="216" spans="1:8" ht="15" customHeight="1" x14ac:dyDescent="0.25">
      <c r="A216" s="5" t="s">
        <v>69</v>
      </c>
      <c r="B216" s="4" t="s">
        <v>69</v>
      </c>
      <c r="C216" s="4" t="s">
        <v>69</v>
      </c>
      <c r="D216" s="12" t="s">
        <v>69</v>
      </c>
      <c r="E216" s="4" t="s">
        <v>69</v>
      </c>
      <c r="F216" s="64" t="s">
        <v>69</v>
      </c>
      <c r="G216" s="119"/>
      <c r="H216" s="11" t="s">
        <v>69</v>
      </c>
    </row>
    <row r="217" spans="1:8" ht="15" customHeight="1" x14ac:dyDescent="0.25">
      <c r="A217" s="116"/>
      <c r="B217" s="117"/>
      <c r="C217" s="117"/>
      <c r="D217" s="121"/>
      <c r="E217" s="117"/>
      <c r="F217" s="118"/>
      <c r="G217" s="119"/>
      <c r="H217" s="120"/>
    </row>
    <row r="218" spans="1:8" ht="15" customHeight="1" x14ac:dyDescent="0.25">
      <c r="A218" s="5" t="s">
        <v>921</v>
      </c>
      <c r="B218" s="4" t="s">
        <v>149</v>
      </c>
      <c r="C218" s="4" t="s">
        <v>38</v>
      </c>
      <c r="D218" s="121">
        <v>53.07</v>
      </c>
      <c r="E218" s="4" t="s">
        <v>4</v>
      </c>
      <c r="F218" s="64" t="s">
        <v>4</v>
      </c>
      <c r="G218" s="119"/>
      <c r="H218" s="120">
        <v>46122</v>
      </c>
    </row>
    <row r="219" spans="1:8" ht="15" customHeight="1" x14ac:dyDescent="0.25">
      <c r="A219" s="5" t="s">
        <v>69</v>
      </c>
      <c r="B219" s="4" t="s">
        <v>69</v>
      </c>
      <c r="C219" s="4" t="s">
        <v>69</v>
      </c>
      <c r="D219" s="12" t="s">
        <v>69</v>
      </c>
      <c r="E219" s="4" t="s">
        <v>69</v>
      </c>
      <c r="F219" s="64" t="s">
        <v>69</v>
      </c>
      <c r="G219" s="23" t="s">
        <v>69</v>
      </c>
      <c r="H219" s="11" t="s">
        <v>69</v>
      </c>
    </row>
    <row r="220" spans="1:8" ht="15" customHeight="1" x14ac:dyDescent="0.25">
      <c r="A220" s="116"/>
      <c r="B220" s="117"/>
      <c r="C220" s="117"/>
      <c r="D220" s="121"/>
      <c r="E220" s="117"/>
      <c r="F220" s="118"/>
      <c r="G220" s="119"/>
      <c r="H220" s="120"/>
    </row>
    <row r="221" spans="1:8" ht="15" customHeight="1" x14ac:dyDescent="0.25">
      <c r="A221" s="5"/>
      <c r="B221" s="4" t="s">
        <v>69</v>
      </c>
      <c r="C221" s="4" t="s">
        <v>69</v>
      </c>
      <c r="D221" s="12" t="s">
        <v>69</v>
      </c>
      <c r="E221" s="4" t="s">
        <v>69</v>
      </c>
      <c r="F221" s="64" t="s">
        <v>69</v>
      </c>
      <c r="G221" s="23" t="s">
        <v>69</v>
      </c>
      <c r="H221" s="11" t="s">
        <v>69</v>
      </c>
    </row>
    <row r="222" spans="1:8" ht="15" customHeight="1" x14ac:dyDescent="0.25">
      <c r="A222" s="5"/>
      <c r="B222" s="4" t="s">
        <v>69</v>
      </c>
      <c r="C222" s="4" t="s">
        <v>69</v>
      </c>
      <c r="D222" s="12" t="s">
        <v>69</v>
      </c>
      <c r="E222" s="4" t="s">
        <v>69</v>
      </c>
      <c r="F222" s="64" t="s">
        <v>69</v>
      </c>
      <c r="G222" s="23" t="s">
        <v>69</v>
      </c>
      <c r="H222" s="11" t="s">
        <v>69</v>
      </c>
    </row>
    <row r="223" spans="1:8" ht="15" customHeight="1" x14ac:dyDescent="0.25">
      <c r="A223" s="5"/>
      <c r="B223" s="4" t="s">
        <v>69</v>
      </c>
      <c r="C223" s="4" t="s">
        <v>69</v>
      </c>
      <c r="D223" s="12" t="s">
        <v>946</v>
      </c>
      <c r="E223" s="4" t="s">
        <v>69</v>
      </c>
      <c r="F223" s="64" t="s">
        <v>69</v>
      </c>
      <c r="G223" s="53" t="s">
        <v>69</v>
      </c>
      <c r="H223" s="11" t="s">
        <v>69</v>
      </c>
    </row>
    <row r="224" spans="1:8" ht="15" customHeight="1" x14ac:dyDescent="0.25">
      <c r="A224" s="5"/>
      <c r="B224" s="4" t="s">
        <v>69</v>
      </c>
      <c r="C224" s="4" t="s">
        <v>946</v>
      </c>
      <c r="D224" s="12" t="s">
        <v>69</v>
      </c>
      <c r="E224" s="4" t="s">
        <v>69</v>
      </c>
      <c r="F224" s="64" t="s">
        <v>69</v>
      </c>
      <c r="G224" s="53" t="s">
        <v>69</v>
      </c>
      <c r="H224" s="11" t="s">
        <v>69</v>
      </c>
    </row>
    <row r="225" spans="1:12" ht="15" customHeight="1" x14ac:dyDescent="0.25">
      <c r="A225" s="5"/>
      <c r="B225" s="4" t="s">
        <v>69</v>
      </c>
      <c r="C225" s="4" t="s">
        <v>69</v>
      </c>
      <c r="D225" s="12" t="s">
        <v>69</v>
      </c>
      <c r="E225" s="4" t="s">
        <v>69</v>
      </c>
      <c r="F225" s="64" t="s">
        <v>69</v>
      </c>
      <c r="G225" s="53" t="s">
        <v>69</v>
      </c>
      <c r="H225" s="11" t="s">
        <v>69</v>
      </c>
    </row>
    <row r="226" spans="1:12" ht="15" customHeight="1" x14ac:dyDescent="0.25">
      <c r="A226" s="5"/>
      <c r="B226" s="4" t="s">
        <v>69</v>
      </c>
      <c r="C226" s="4" t="s">
        <v>69</v>
      </c>
      <c r="D226" s="12" t="s">
        <v>69</v>
      </c>
      <c r="E226" s="4" t="s">
        <v>69</v>
      </c>
      <c r="F226" s="64" t="s">
        <v>69</v>
      </c>
      <c r="G226" s="23" t="s">
        <v>69</v>
      </c>
      <c r="H226" s="11" t="s">
        <v>69</v>
      </c>
    </row>
    <row r="227" spans="1:12" ht="15" customHeight="1" x14ac:dyDescent="0.25">
      <c r="A227" s="5"/>
      <c r="B227" s="4" t="s">
        <v>69</v>
      </c>
      <c r="C227" s="4" t="s">
        <v>69</v>
      </c>
      <c r="D227" s="12" t="s">
        <v>69</v>
      </c>
      <c r="E227" s="4" t="s">
        <v>69</v>
      </c>
      <c r="F227" s="64" t="s">
        <v>69</v>
      </c>
      <c r="G227" s="23" t="s">
        <v>69</v>
      </c>
      <c r="H227" s="11" t="s">
        <v>69</v>
      </c>
    </row>
    <row r="228" spans="1:12" ht="15" customHeight="1" x14ac:dyDescent="0.25">
      <c r="A228" s="5" t="s">
        <v>927</v>
      </c>
      <c r="B228" s="4" t="s">
        <v>148</v>
      </c>
      <c r="C228" s="4" t="s">
        <v>38</v>
      </c>
      <c r="D228" s="121">
        <v>616.28</v>
      </c>
      <c r="E228" s="4" t="s">
        <v>4</v>
      </c>
      <c r="F228" s="64" t="s">
        <v>4</v>
      </c>
      <c r="G228" s="23" t="s">
        <v>119</v>
      </c>
      <c r="H228" s="120">
        <v>46122</v>
      </c>
    </row>
    <row r="229" spans="1:12" ht="15" customHeight="1" x14ac:dyDescent="0.25">
      <c r="A229" s="5"/>
      <c r="B229" s="4"/>
      <c r="C229" s="4"/>
      <c r="D229" s="121"/>
      <c r="E229" s="4"/>
      <c r="F229" s="64"/>
      <c r="G229" s="23"/>
      <c r="H229" s="120"/>
    </row>
    <row r="230" spans="1:12" ht="15.75" x14ac:dyDescent="0.25">
      <c r="A230" s="5"/>
      <c r="B230" s="4"/>
      <c r="C230" s="4"/>
      <c r="D230" s="121"/>
      <c r="E230" s="4"/>
      <c r="F230" s="64"/>
      <c r="G230" s="23"/>
      <c r="H230" s="120"/>
      <c r="L230" s="26"/>
    </row>
    <row r="231" spans="1:12" ht="15.75" x14ac:dyDescent="0.25">
      <c r="A231" s="5"/>
      <c r="B231" s="4"/>
      <c r="C231" s="4"/>
      <c r="D231" s="121"/>
      <c r="E231" s="4"/>
      <c r="F231" s="64"/>
      <c r="G231" s="23"/>
      <c r="H231" s="120"/>
    </row>
    <row r="232" spans="1:12" ht="15.75" x14ac:dyDescent="0.25">
      <c r="A232" s="5"/>
      <c r="B232" s="4"/>
      <c r="C232" s="4"/>
      <c r="D232" s="121"/>
      <c r="E232" s="4"/>
      <c r="F232" s="64"/>
      <c r="G232" s="119"/>
      <c r="H232" s="120"/>
      <c r="L232" s="26"/>
    </row>
    <row r="233" spans="1:12" ht="15.75" x14ac:dyDescent="0.25">
      <c r="A233" s="5"/>
      <c r="B233" s="4"/>
      <c r="C233" s="4"/>
      <c r="D233" s="121"/>
      <c r="E233" s="4"/>
      <c r="F233" s="64"/>
      <c r="G233" s="119"/>
      <c r="H233" s="120"/>
      <c r="L233" s="26"/>
    </row>
    <row r="234" spans="1:12" ht="15.75" x14ac:dyDescent="0.25">
      <c r="A234" s="5"/>
      <c r="B234" s="4"/>
      <c r="C234" s="4"/>
      <c r="D234" s="121"/>
      <c r="E234" s="4"/>
      <c r="F234" s="64"/>
      <c r="G234" s="119"/>
      <c r="H234" s="120"/>
      <c r="L234" s="26"/>
    </row>
    <row r="235" spans="1:12" ht="15.75" x14ac:dyDescent="0.25">
      <c r="A235" s="5" t="s">
        <v>69</v>
      </c>
      <c r="B235" s="4" t="s">
        <v>69</v>
      </c>
      <c r="C235" s="4" t="s">
        <v>946</v>
      </c>
      <c r="D235" s="12" t="s">
        <v>69</v>
      </c>
      <c r="E235" s="4" t="s">
        <v>69</v>
      </c>
      <c r="F235" s="64" t="s">
        <v>69</v>
      </c>
      <c r="G235" s="23" t="s">
        <v>69</v>
      </c>
      <c r="H235" s="11" t="s">
        <v>69</v>
      </c>
      <c r="L235" s="26"/>
    </row>
    <row r="236" spans="1:12" ht="15.75" x14ac:dyDescent="0.25">
      <c r="A236" s="5"/>
      <c r="B236" s="4"/>
      <c r="C236" s="4"/>
      <c r="D236" s="121"/>
      <c r="E236" s="4"/>
      <c r="F236" s="64"/>
      <c r="G236" s="23"/>
      <c r="H236" s="120"/>
      <c r="L236" s="26"/>
    </row>
    <row r="237" spans="1:12" ht="15.75" x14ac:dyDescent="0.25">
      <c r="A237" s="5"/>
      <c r="B237" s="4"/>
      <c r="C237" s="4"/>
      <c r="D237" s="121"/>
      <c r="E237" s="4"/>
      <c r="F237" s="64"/>
      <c r="G237" s="119"/>
      <c r="H237" s="120"/>
      <c r="L237" s="26"/>
    </row>
    <row r="238" spans="1:12" ht="15.75" x14ac:dyDescent="0.25">
      <c r="A238" s="5"/>
      <c r="B238" s="4"/>
      <c r="C238" s="4"/>
      <c r="D238" s="121"/>
      <c r="E238" s="4"/>
      <c r="F238" s="64"/>
      <c r="G238" s="23"/>
      <c r="H238" s="120"/>
      <c r="L238" s="26"/>
    </row>
    <row r="239" spans="1:12" ht="15.75" x14ac:dyDescent="0.25">
      <c r="A239" s="5"/>
      <c r="B239" s="4"/>
      <c r="C239" s="4"/>
      <c r="D239" s="12"/>
      <c r="E239" s="4"/>
      <c r="F239" s="64"/>
      <c r="G239" s="23"/>
      <c r="H239" s="120"/>
      <c r="L239" s="26"/>
    </row>
    <row r="240" spans="1:12" ht="15.75" x14ac:dyDescent="0.25">
      <c r="A240" s="5"/>
      <c r="B240" s="4"/>
      <c r="C240" s="4"/>
      <c r="D240" s="12"/>
      <c r="E240" s="4"/>
      <c r="F240" s="64"/>
      <c r="G240" s="53"/>
      <c r="H240" s="94"/>
      <c r="L240" s="26"/>
    </row>
    <row r="241" spans="1:12" ht="15.75" x14ac:dyDescent="0.25">
      <c r="A241" s="5"/>
      <c r="B241" s="4"/>
      <c r="C241" s="4"/>
      <c r="D241" s="121"/>
      <c r="E241" s="4"/>
      <c r="F241" s="64"/>
      <c r="G241" s="119"/>
      <c r="H241" s="120"/>
      <c r="L241" s="26"/>
    </row>
    <row r="242" spans="1:12" ht="15.75" x14ac:dyDescent="0.25">
      <c r="A242" s="5"/>
      <c r="B242" s="4"/>
      <c r="C242" s="4"/>
      <c r="D242" s="13"/>
      <c r="E242" s="4"/>
      <c r="F242" s="64"/>
      <c r="G242" s="119"/>
      <c r="H242" s="120"/>
      <c r="L242" s="26"/>
    </row>
    <row r="243" spans="1:12" ht="15.75" x14ac:dyDescent="0.25">
      <c r="A243" s="116"/>
      <c r="B243" s="117"/>
      <c r="C243" s="117"/>
      <c r="D243" s="121"/>
      <c r="E243" s="117"/>
      <c r="F243" s="118"/>
      <c r="G243" s="119"/>
      <c r="H243" s="11" t="s">
        <v>69</v>
      </c>
      <c r="L243" s="26"/>
    </row>
    <row r="244" spans="1:12" ht="15.75" x14ac:dyDescent="0.25">
      <c r="A244" s="5" t="s">
        <v>69</v>
      </c>
      <c r="B244" s="4" t="s">
        <v>69</v>
      </c>
      <c r="C244" s="4" t="s">
        <v>69</v>
      </c>
      <c r="D244" s="33" t="s">
        <v>69</v>
      </c>
      <c r="E244" s="4" t="s">
        <v>69</v>
      </c>
      <c r="F244" s="64" t="s">
        <v>69</v>
      </c>
      <c r="G244" s="53" t="s">
        <v>69</v>
      </c>
      <c r="H244" s="11" t="s">
        <v>69</v>
      </c>
    </row>
    <row r="245" spans="1:12" ht="15.75" x14ac:dyDescent="0.25">
      <c r="A245" s="5" t="s">
        <v>69</v>
      </c>
      <c r="B245" s="4" t="s">
        <v>69</v>
      </c>
      <c r="C245" s="4" t="s">
        <v>69</v>
      </c>
      <c r="D245" s="12" t="s">
        <v>69</v>
      </c>
      <c r="E245" s="4" t="s">
        <v>69</v>
      </c>
      <c r="F245" s="64" t="s">
        <v>69</v>
      </c>
      <c r="G245" s="119"/>
      <c r="H245" s="11" t="s">
        <v>69</v>
      </c>
    </row>
    <row r="246" spans="1:12" ht="15.75" x14ac:dyDescent="0.25">
      <c r="A246" s="5" t="s">
        <v>69</v>
      </c>
      <c r="B246" s="4" t="s">
        <v>69</v>
      </c>
      <c r="C246" s="4" t="s">
        <v>69</v>
      </c>
      <c r="D246" s="33" t="s">
        <v>69</v>
      </c>
      <c r="E246" s="4" t="s">
        <v>69</v>
      </c>
      <c r="F246" s="64" t="s">
        <v>69</v>
      </c>
      <c r="G246" s="53" t="s">
        <v>69</v>
      </c>
      <c r="H246" s="11" t="s">
        <v>69</v>
      </c>
    </row>
    <row r="247" spans="1:12" ht="15.75" x14ac:dyDescent="0.25">
      <c r="A247" s="5" t="s">
        <v>69</v>
      </c>
      <c r="B247" s="4" t="s">
        <v>69</v>
      </c>
      <c r="C247" s="4" t="s">
        <v>69</v>
      </c>
      <c r="D247" s="12" t="s">
        <v>946</v>
      </c>
      <c r="E247" s="4" t="s">
        <v>69</v>
      </c>
      <c r="F247" s="64" t="s">
        <v>69</v>
      </c>
      <c r="G247" s="53" t="s">
        <v>69</v>
      </c>
      <c r="H247" s="11" t="s">
        <v>69</v>
      </c>
    </row>
    <row r="248" spans="1:12" ht="15.75" x14ac:dyDescent="0.25">
      <c r="A248" s="116"/>
      <c r="B248" s="117"/>
      <c r="C248" s="117"/>
      <c r="D248" s="121"/>
      <c r="E248" s="117"/>
      <c r="F248" s="118"/>
      <c r="G248" s="119"/>
      <c r="H248" s="120"/>
    </row>
    <row r="249" spans="1:12" ht="15.75" x14ac:dyDescent="0.25">
      <c r="A249" s="116"/>
      <c r="B249" s="117"/>
      <c r="C249" s="117"/>
      <c r="D249" s="121"/>
      <c r="E249" s="117"/>
      <c r="F249" s="118"/>
      <c r="G249" s="119"/>
      <c r="H249" s="120"/>
    </row>
    <row r="250" spans="1:12" ht="15.75" x14ac:dyDescent="0.25">
      <c r="A250" s="116"/>
      <c r="B250" s="117"/>
      <c r="C250" s="117"/>
      <c r="D250" s="121"/>
      <c r="E250" s="117"/>
      <c r="F250" s="118"/>
      <c r="G250" s="119"/>
      <c r="H250" s="120"/>
    </row>
    <row r="251" spans="1:12" ht="15.75" x14ac:dyDescent="0.25">
      <c r="A251" s="5" t="s">
        <v>69</v>
      </c>
      <c r="B251" s="4" t="s">
        <v>69</v>
      </c>
      <c r="C251" s="4" t="s">
        <v>69</v>
      </c>
      <c r="D251" s="12" t="s">
        <v>69</v>
      </c>
      <c r="E251" s="4" t="s">
        <v>69</v>
      </c>
      <c r="F251" s="64" t="s">
        <v>69</v>
      </c>
      <c r="G251" s="23" t="s">
        <v>69</v>
      </c>
      <c r="H251" s="11" t="s">
        <v>69</v>
      </c>
    </row>
    <row r="252" spans="1:12" ht="15.75" x14ac:dyDescent="0.25">
      <c r="A252" s="5" t="s">
        <v>69</v>
      </c>
      <c r="B252" s="4" t="s">
        <v>69</v>
      </c>
      <c r="C252" s="4" t="s">
        <v>69</v>
      </c>
      <c r="D252" s="33" t="s">
        <v>69</v>
      </c>
      <c r="E252" s="4" t="s">
        <v>69</v>
      </c>
      <c r="F252" s="64" t="s">
        <v>69</v>
      </c>
      <c r="G252" s="53" t="s">
        <v>69</v>
      </c>
      <c r="H252" s="11" t="s">
        <v>69</v>
      </c>
    </row>
    <row r="253" spans="1:12" ht="15.75" x14ac:dyDescent="0.25">
      <c r="A253" s="5" t="s">
        <v>69</v>
      </c>
      <c r="B253" s="4" t="s">
        <v>69</v>
      </c>
      <c r="C253" s="4" t="s">
        <v>69</v>
      </c>
      <c r="D253" s="12" t="s">
        <v>69</v>
      </c>
      <c r="E253" s="4" t="s">
        <v>69</v>
      </c>
      <c r="F253" s="64" t="s">
        <v>69</v>
      </c>
      <c r="G253" s="53" t="s">
        <v>69</v>
      </c>
      <c r="H253" s="11" t="s">
        <v>69</v>
      </c>
    </row>
    <row r="254" spans="1:12" ht="15.75" x14ac:dyDescent="0.25">
      <c r="A254" s="5" t="s">
        <v>69</v>
      </c>
      <c r="B254" s="4" t="s">
        <v>69</v>
      </c>
      <c r="C254" s="4" t="s">
        <v>69</v>
      </c>
      <c r="D254" s="33" t="s">
        <v>69</v>
      </c>
      <c r="E254" s="4" t="s">
        <v>69</v>
      </c>
      <c r="F254" s="64" t="s">
        <v>69</v>
      </c>
      <c r="G254" s="53" t="s">
        <v>69</v>
      </c>
      <c r="H254" s="11" t="s">
        <v>69</v>
      </c>
    </row>
    <row r="255" spans="1:12" ht="15.75" x14ac:dyDescent="0.25">
      <c r="A255" s="5" t="s">
        <v>69</v>
      </c>
      <c r="B255" s="4" t="s">
        <v>69</v>
      </c>
      <c r="C255" s="4" t="s">
        <v>69</v>
      </c>
      <c r="D255" s="33" t="s">
        <v>69</v>
      </c>
      <c r="E255" s="4" t="s">
        <v>69</v>
      </c>
      <c r="F255" s="64" t="s">
        <v>69</v>
      </c>
      <c r="G255" s="23" t="s">
        <v>69</v>
      </c>
      <c r="H255" s="11" t="s">
        <v>69</v>
      </c>
    </row>
    <row r="256" spans="1:12" ht="15.75" x14ac:dyDescent="0.25">
      <c r="A256" s="5" t="s">
        <v>69</v>
      </c>
      <c r="B256" s="4" t="s">
        <v>69</v>
      </c>
      <c r="C256" s="4" t="s">
        <v>69</v>
      </c>
      <c r="D256" s="33" t="s">
        <v>69</v>
      </c>
      <c r="E256" s="4" t="s">
        <v>69</v>
      </c>
      <c r="F256" s="64" t="s">
        <v>69</v>
      </c>
      <c r="G256" s="23" t="s">
        <v>69</v>
      </c>
      <c r="H256" s="11" t="s">
        <v>69</v>
      </c>
    </row>
    <row r="257" spans="1:11" ht="15.75" x14ac:dyDescent="0.25">
      <c r="A257" s="5" t="s">
        <v>69</v>
      </c>
      <c r="B257" s="4" t="s">
        <v>69</v>
      </c>
      <c r="C257" s="4" t="s">
        <v>69</v>
      </c>
      <c r="D257" s="33" t="s">
        <v>69</v>
      </c>
      <c r="E257" s="4" t="s">
        <v>69</v>
      </c>
      <c r="F257" s="64" t="s">
        <v>69</v>
      </c>
      <c r="G257" s="23" t="s">
        <v>69</v>
      </c>
      <c r="H257" s="11" t="s">
        <v>69</v>
      </c>
    </row>
    <row r="258" spans="1:11" ht="15.75" x14ac:dyDescent="0.25">
      <c r="A258" s="116"/>
      <c r="B258" s="117"/>
      <c r="C258" s="117"/>
      <c r="D258" s="121"/>
      <c r="E258" s="117"/>
      <c r="F258" s="118"/>
      <c r="G258" s="119"/>
      <c r="H258" s="120"/>
      <c r="K258" s="31"/>
    </row>
    <row r="259" spans="1:11" ht="15.75" x14ac:dyDescent="0.25">
      <c r="A259" s="116"/>
      <c r="B259" s="117"/>
      <c r="C259" s="117"/>
      <c r="D259" s="121"/>
      <c r="E259" s="117"/>
      <c r="F259" s="118"/>
      <c r="G259" s="119"/>
      <c r="H259" s="120"/>
      <c r="K259" s="32"/>
    </row>
    <row r="260" spans="1:11" ht="15.75" x14ac:dyDescent="0.25">
      <c r="A260" s="116"/>
      <c r="B260" s="117"/>
      <c r="C260" s="117"/>
      <c r="D260" s="121"/>
      <c r="E260" s="117"/>
      <c r="F260" s="118"/>
      <c r="G260" s="119"/>
      <c r="H260" s="120"/>
      <c r="K260" s="32"/>
    </row>
    <row r="261" spans="1:11" ht="15.75" x14ac:dyDescent="0.25">
      <c r="A261" s="116"/>
      <c r="B261" s="117"/>
      <c r="C261" s="117"/>
      <c r="D261" s="121"/>
      <c r="E261" s="117"/>
      <c r="F261" s="118"/>
      <c r="G261" s="119"/>
      <c r="H261" s="120"/>
    </row>
    <row r="262" spans="1:11" ht="15.75" x14ac:dyDescent="0.25">
      <c r="A262" s="5" t="s">
        <v>69</v>
      </c>
      <c r="B262" s="4" t="s">
        <v>69</v>
      </c>
      <c r="C262" s="4" t="s">
        <v>69</v>
      </c>
      <c r="D262" s="33" t="s">
        <v>69</v>
      </c>
      <c r="E262" s="4" t="s">
        <v>69</v>
      </c>
      <c r="F262" s="64" t="s">
        <v>69</v>
      </c>
      <c r="G262" s="23" t="s">
        <v>69</v>
      </c>
      <c r="H262" s="11" t="s">
        <v>69</v>
      </c>
    </row>
    <row r="263" spans="1:11" ht="15.75" x14ac:dyDescent="0.25">
      <c r="A263" s="5" t="s">
        <v>69</v>
      </c>
      <c r="B263" s="4" t="s">
        <v>69</v>
      </c>
      <c r="C263" s="4" t="s">
        <v>69</v>
      </c>
      <c r="D263" s="33" t="s">
        <v>69</v>
      </c>
      <c r="E263" s="4" t="s">
        <v>69</v>
      </c>
      <c r="F263" s="64" t="s">
        <v>69</v>
      </c>
      <c r="G263" s="23" t="s">
        <v>69</v>
      </c>
      <c r="H263" s="11" t="s">
        <v>69</v>
      </c>
    </row>
    <row r="264" spans="1:11" ht="15.75" x14ac:dyDescent="0.25">
      <c r="A264" s="5" t="s">
        <v>69</v>
      </c>
      <c r="B264" s="4" t="s">
        <v>69</v>
      </c>
      <c r="C264" s="4" t="s">
        <v>69</v>
      </c>
      <c r="D264" s="33" t="s">
        <v>69</v>
      </c>
      <c r="E264" s="4" t="s">
        <v>69</v>
      </c>
      <c r="F264" s="64" t="s">
        <v>69</v>
      </c>
      <c r="G264" s="23" t="s">
        <v>69</v>
      </c>
      <c r="H264" s="11" t="s">
        <v>69</v>
      </c>
    </row>
    <row r="265" spans="1:11" ht="15.75" x14ac:dyDescent="0.25">
      <c r="A265" s="5" t="s">
        <v>69</v>
      </c>
      <c r="B265" s="4" t="s">
        <v>69</v>
      </c>
      <c r="C265" s="4" t="s">
        <v>69</v>
      </c>
      <c r="D265" s="12" t="s">
        <v>69</v>
      </c>
      <c r="E265" s="4" t="s">
        <v>946</v>
      </c>
      <c r="F265" s="64" t="s">
        <v>69</v>
      </c>
      <c r="G265" s="53" t="s">
        <v>69</v>
      </c>
      <c r="H265" s="11" t="s">
        <v>69</v>
      </c>
    </row>
    <row r="266" spans="1:11" ht="15.75" x14ac:dyDescent="0.25">
      <c r="A266" s="116"/>
      <c r="B266" s="117"/>
      <c r="C266" s="117"/>
      <c r="D266" s="121"/>
      <c r="E266" s="117"/>
      <c r="F266" s="118"/>
      <c r="G266" s="119"/>
      <c r="H266" s="120"/>
    </row>
    <row r="267" spans="1:11" ht="15.75" x14ac:dyDescent="0.25">
      <c r="A267" s="5" t="s">
        <v>953</v>
      </c>
      <c r="B267" s="4" t="s">
        <v>84</v>
      </c>
      <c r="C267" s="4" t="s">
        <v>38</v>
      </c>
      <c r="D267" s="33">
        <v>132.24</v>
      </c>
      <c r="E267" s="4" t="s">
        <v>4</v>
      </c>
      <c r="F267" s="64" t="s">
        <v>4</v>
      </c>
      <c r="G267" s="23" t="s">
        <v>101</v>
      </c>
      <c r="H267" s="120">
        <v>46125</v>
      </c>
    </row>
    <row r="268" spans="1:11" ht="15.75" x14ac:dyDescent="0.25">
      <c r="A268" s="5" t="s">
        <v>315</v>
      </c>
      <c r="B268" s="4" t="s">
        <v>84</v>
      </c>
      <c r="C268" s="4" t="s">
        <v>38</v>
      </c>
      <c r="D268" s="12">
        <v>10433.77</v>
      </c>
      <c r="E268" s="4" t="s">
        <v>4</v>
      </c>
      <c r="F268" s="64" t="s">
        <v>4</v>
      </c>
      <c r="G268" s="53" t="s">
        <v>96</v>
      </c>
      <c r="H268" s="120">
        <v>46125</v>
      </c>
    </row>
    <row r="269" spans="1:11" ht="15.75" x14ac:dyDescent="0.25">
      <c r="A269" s="5" t="s">
        <v>316</v>
      </c>
      <c r="B269" s="4" t="s">
        <v>84</v>
      </c>
      <c r="C269" s="4" t="s">
        <v>38</v>
      </c>
      <c r="D269" s="12">
        <v>10413.530000000001</v>
      </c>
      <c r="E269" s="4" t="s">
        <v>4</v>
      </c>
      <c r="F269" s="64" t="s">
        <v>4</v>
      </c>
      <c r="G269" s="53" t="s">
        <v>96</v>
      </c>
      <c r="H269" s="120">
        <v>46125</v>
      </c>
    </row>
    <row r="270" spans="1:11" ht="15.75" x14ac:dyDescent="0.25">
      <c r="A270" s="5" t="s">
        <v>955</v>
      </c>
      <c r="B270" s="4" t="s">
        <v>84</v>
      </c>
      <c r="C270" s="4" t="s">
        <v>38</v>
      </c>
      <c r="D270" s="122">
        <v>3793.08</v>
      </c>
      <c r="E270" s="4" t="s">
        <v>4</v>
      </c>
      <c r="F270" s="64" t="s">
        <v>4</v>
      </c>
      <c r="G270" s="23" t="s">
        <v>96</v>
      </c>
      <c r="H270" s="120">
        <v>46125</v>
      </c>
    </row>
    <row r="271" spans="1:11" ht="15.75" x14ac:dyDescent="0.25">
      <c r="A271" s="5" t="s">
        <v>956</v>
      </c>
      <c r="B271" s="4" t="s">
        <v>84</v>
      </c>
      <c r="C271" s="4" t="s">
        <v>38</v>
      </c>
      <c r="D271" s="122">
        <v>3793.08</v>
      </c>
      <c r="E271" s="4" t="s">
        <v>4</v>
      </c>
      <c r="F271" s="64" t="s">
        <v>4</v>
      </c>
      <c r="G271" s="23" t="s">
        <v>96</v>
      </c>
      <c r="H271" s="120">
        <v>46125</v>
      </c>
    </row>
    <row r="272" spans="1:11" ht="15.75" x14ac:dyDescent="0.25">
      <c r="A272" s="5"/>
      <c r="B272" s="4"/>
      <c r="C272" s="4"/>
      <c r="D272" s="122"/>
      <c r="E272" s="4"/>
      <c r="F272" s="64"/>
      <c r="G272" s="119"/>
      <c r="H272" s="120"/>
    </row>
    <row r="273" spans="1:10" ht="15.75" x14ac:dyDescent="0.25">
      <c r="A273" s="5"/>
      <c r="B273" s="4"/>
      <c r="C273" s="4"/>
      <c r="D273" s="122"/>
      <c r="E273" s="4"/>
      <c r="F273" s="64"/>
      <c r="G273" s="23"/>
      <c r="H273" s="120"/>
      <c r="J273" s="26"/>
    </row>
    <row r="274" spans="1:10" ht="15.75" x14ac:dyDescent="0.25">
      <c r="A274" s="5"/>
      <c r="B274" s="4"/>
      <c r="C274" s="4"/>
      <c r="D274" s="33"/>
      <c r="E274" s="4"/>
      <c r="F274" s="64"/>
      <c r="G274" s="89"/>
      <c r="H274" s="94"/>
    </row>
    <row r="275" spans="1:10" ht="15.75" x14ac:dyDescent="0.25">
      <c r="A275" s="5" t="s">
        <v>69</v>
      </c>
      <c r="B275" s="4" t="s">
        <v>69</v>
      </c>
      <c r="C275" s="4" t="s">
        <v>69</v>
      </c>
      <c r="D275" s="33" t="s">
        <v>69</v>
      </c>
      <c r="E275" s="4" t="s">
        <v>69</v>
      </c>
      <c r="F275" s="64" t="s">
        <v>69</v>
      </c>
      <c r="G275" s="119"/>
      <c r="H275" s="11" t="s">
        <v>69</v>
      </c>
    </row>
    <row r="276" spans="1:10" ht="15.75" x14ac:dyDescent="0.25">
      <c r="A276" s="5" t="s">
        <v>69</v>
      </c>
      <c r="B276" s="4" t="s">
        <v>69</v>
      </c>
      <c r="C276" s="4" t="s">
        <v>69</v>
      </c>
      <c r="D276" s="33" t="s">
        <v>69</v>
      </c>
      <c r="E276" s="4" t="s">
        <v>69</v>
      </c>
      <c r="F276" s="64" t="s">
        <v>69</v>
      </c>
      <c r="G276" s="119"/>
      <c r="H276" s="11" t="s">
        <v>69</v>
      </c>
    </row>
    <row r="277" spans="1:10" ht="15.75" x14ac:dyDescent="0.25">
      <c r="A277" s="5" t="s">
        <v>946</v>
      </c>
      <c r="B277" s="4" t="s">
        <v>69</v>
      </c>
      <c r="C277" s="4" t="s">
        <v>69</v>
      </c>
      <c r="D277" s="33" t="s">
        <v>69</v>
      </c>
      <c r="E277" s="4" t="s">
        <v>69</v>
      </c>
      <c r="F277" s="64" t="s">
        <v>69</v>
      </c>
      <c r="G277" s="119"/>
      <c r="H277" s="11" t="s">
        <v>69</v>
      </c>
    </row>
    <row r="278" spans="1:10" ht="15.75" x14ac:dyDescent="0.25">
      <c r="A278" s="5" t="s">
        <v>69</v>
      </c>
      <c r="B278" s="4" t="s">
        <v>69</v>
      </c>
      <c r="C278" s="4" t="s">
        <v>69</v>
      </c>
      <c r="D278" s="33" t="s">
        <v>69</v>
      </c>
      <c r="E278" s="4" t="s">
        <v>69</v>
      </c>
      <c r="F278" s="64" t="s">
        <v>69</v>
      </c>
      <c r="G278" s="119"/>
      <c r="H278" s="11" t="s">
        <v>69</v>
      </c>
    </row>
    <row r="279" spans="1:10" ht="15.75" x14ac:dyDescent="0.25">
      <c r="A279" s="5"/>
      <c r="B279" s="4"/>
      <c r="C279" s="4"/>
      <c r="D279" s="33"/>
      <c r="E279" s="4"/>
      <c r="F279" s="64"/>
      <c r="G279" s="89"/>
      <c r="H279" s="94"/>
    </row>
    <row r="280" spans="1:10" ht="15.75" x14ac:dyDescent="0.25">
      <c r="A280" s="5"/>
      <c r="B280" s="4"/>
      <c r="C280" s="4"/>
      <c r="D280" s="33"/>
      <c r="E280" s="4"/>
      <c r="F280" s="64"/>
      <c r="G280" s="89"/>
      <c r="H280" s="94"/>
    </row>
    <row r="281" spans="1:10" ht="15.75" x14ac:dyDescent="0.25">
      <c r="A281" s="5"/>
      <c r="B281" s="4"/>
      <c r="C281" s="4"/>
      <c r="D281" s="121"/>
      <c r="E281" s="4"/>
      <c r="F281" s="64"/>
      <c r="G281" s="89"/>
      <c r="H281" s="94"/>
    </row>
    <row r="282" spans="1:10" ht="15.75" x14ac:dyDescent="0.25">
      <c r="A282" s="5"/>
      <c r="B282" s="4"/>
      <c r="C282" s="4"/>
      <c r="D282" s="121"/>
      <c r="E282" s="4"/>
      <c r="F282" s="64"/>
      <c r="G282" s="89"/>
      <c r="H282" s="94"/>
    </row>
    <row r="283" spans="1:10" ht="15.75" x14ac:dyDescent="0.25">
      <c r="A283" s="5"/>
      <c r="B283" s="4"/>
      <c r="C283" s="4"/>
      <c r="D283" s="121"/>
      <c r="E283" s="4"/>
      <c r="F283" s="64"/>
      <c r="G283" s="89"/>
      <c r="H283" s="94"/>
    </row>
    <row r="284" spans="1:10" ht="15.75" x14ac:dyDescent="0.25">
      <c r="A284" s="5"/>
      <c r="B284" s="4"/>
      <c r="C284" s="4"/>
      <c r="D284" s="121"/>
      <c r="E284" s="4"/>
      <c r="F284" s="64"/>
      <c r="G284" s="89"/>
      <c r="H284" s="94"/>
    </row>
    <row r="285" spans="1:10" ht="15.75" x14ac:dyDescent="0.25">
      <c r="A285" s="5"/>
      <c r="B285" s="4"/>
      <c r="C285" s="4"/>
      <c r="D285" s="121"/>
      <c r="E285" s="4"/>
      <c r="F285" s="64"/>
      <c r="G285" s="89"/>
      <c r="H285" s="94"/>
    </row>
    <row r="286" spans="1:10" ht="15.75" x14ac:dyDescent="0.25">
      <c r="A286" s="5" t="s">
        <v>18</v>
      </c>
      <c r="B286" s="4" t="s">
        <v>148</v>
      </c>
      <c r="C286" s="4" t="s">
        <v>38</v>
      </c>
      <c r="D286" s="13">
        <v>96.59</v>
      </c>
      <c r="E286" s="4" t="s">
        <v>4</v>
      </c>
      <c r="F286" s="64" t="s">
        <v>4</v>
      </c>
      <c r="G286" s="53" t="s">
        <v>92</v>
      </c>
      <c r="H286" s="120">
        <v>46126</v>
      </c>
    </row>
    <row r="287" spans="1:10" ht="15.75" x14ac:dyDescent="0.25">
      <c r="A287" s="5"/>
      <c r="B287" s="4"/>
      <c r="C287" s="4"/>
      <c r="D287" s="121"/>
      <c r="E287" s="4"/>
      <c r="F287" s="64"/>
      <c r="G287" s="89"/>
      <c r="H287" s="94"/>
    </row>
    <row r="288" spans="1:10" ht="15.75" x14ac:dyDescent="0.25">
      <c r="A288" s="5" t="s">
        <v>69</v>
      </c>
      <c r="B288" s="4" t="s">
        <v>69</v>
      </c>
      <c r="C288" s="4" t="s">
        <v>69</v>
      </c>
      <c r="D288" s="12" t="s">
        <v>69</v>
      </c>
      <c r="E288" s="4" t="s">
        <v>69</v>
      </c>
      <c r="F288" s="64" t="s">
        <v>69</v>
      </c>
      <c r="G288" s="23" t="s">
        <v>69</v>
      </c>
      <c r="H288" s="11" t="s">
        <v>69</v>
      </c>
    </row>
    <row r="289" spans="1:11" ht="15.75" x14ac:dyDescent="0.25">
      <c r="A289" s="5"/>
      <c r="B289" s="4"/>
      <c r="C289" s="4"/>
      <c r="D289" s="121"/>
      <c r="E289" s="4"/>
      <c r="F289" s="64"/>
      <c r="G289" s="89"/>
      <c r="H289" s="94"/>
    </row>
    <row r="290" spans="1:11" ht="15.75" x14ac:dyDescent="0.25">
      <c r="A290" s="5" t="s">
        <v>204</v>
      </c>
      <c r="B290" s="4" t="s">
        <v>148</v>
      </c>
      <c r="C290" s="4" t="s">
        <v>38</v>
      </c>
      <c r="D290" s="121">
        <v>3000</v>
      </c>
      <c r="E290" s="4" t="s">
        <v>4</v>
      </c>
      <c r="F290" s="64" t="s">
        <v>4</v>
      </c>
      <c r="G290" s="89"/>
      <c r="H290" s="11">
        <v>46127</v>
      </c>
    </row>
    <row r="291" spans="1:11" ht="15.75" x14ac:dyDescent="0.25">
      <c r="A291" s="5"/>
      <c r="B291" s="4"/>
      <c r="C291" s="4"/>
      <c r="D291" s="121"/>
      <c r="E291" s="4"/>
      <c r="F291" s="64"/>
      <c r="G291" s="89"/>
      <c r="H291" s="94"/>
    </row>
    <row r="292" spans="1:11" ht="15.75" x14ac:dyDescent="0.25">
      <c r="A292" s="5"/>
      <c r="B292" s="4"/>
      <c r="C292" s="4"/>
      <c r="D292" s="121"/>
      <c r="E292" s="4"/>
      <c r="F292" s="64"/>
      <c r="G292" s="89"/>
      <c r="H292" s="94"/>
    </row>
    <row r="293" spans="1:11" ht="15.75" x14ac:dyDescent="0.25">
      <c r="A293" s="5"/>
      <c r="B293" s="4"/>
      <c r="C293" s="4"/>
      <c r="D293" s="121"/>
      <c r="E293" s="4"/>
      <c r="F293" s="64"/>
      <c r="G293" s="89"/>
      <c r="H293" s="94"/>
    </row>
    <row r="294" spans="1:11" ht="15.75" x14ac:dyDescent="0.25">
      <c r="A294" s="5"/>
      <c r="B294" s="4"/>
      <c r="C294" s="4"/>
      <c r="D294" s="121"/>
      <c r="E294" s="4"/>
      <c r="F294" s="64"/>
      <c r="G294" s="89"/>
      <c r="H294" s="94"/>
    </row>
    <row r="295" spans="1:11" ht="15.75" x14ac:dyDescent="0.25">
      <c r="A295" s="5" t="s">
        <v>970</v>
      </c>
      <c r="B295" s="4" t="s">
        <v>148</v>
      </c>
      <c r="C295" s="4" t="s">
        <v>38</v>
      </c>
      <c r="D295" s="121">
        <v>500</v>
      </c>
      <c r="E295" s="4" t="s">
        <v>4</v>
      </c>
      <c r="F295" s="64" t="s">
        <v>4</v>
      </c>
      <c r="G295" s="89"/>
      <c r="H295" s="94">
        <v>46129</v>
      </c>
    </row>
    <row r="296" spans="1:11" ht="16.149999999999999" customHeight="1" x14ac:dyDescent="0.25">
      <c r="A296" s="5"/>
      <c r="B296" s="4"/>
      <c r="C296" s="4"/>
      <c r="D296" s="121"/>
      <c r="E296" s="4"/>
      <c r="F296" s="64"/>
      <c r="G296" s="89"/>
      <c r="H296" s="94"/>
    </row>
    <row r="297" spans="1:11" ht="15.75" x14ac:dyDescent="0.25">
      <c r="A297" s="5"/>
      <c r="B297" s="4"/>
      <c r="C297" s="4"/>
      <c r="D297" s="121"/>
      <c r="E297" s="4"/>
      <c r="F297" s="64"/>
      <c r="G297" s="89"/>
      <c r="H297" s="94"/>
    </row>
    <row r="298" spans="1:11" ht="15.75" x14ac:dyDescent="0.25">
      <c r="A298" s="5" t="s">
        <v>973</v>
      </c>
      <c r="B298" s="4" t="s">
        <v>148</v>
      </c>
      <c r="C298" s="4" t="s">
        <v>38</v>
      </c>
      <c r="D298" s="121">
        <v>85.82</v>
      </c>
      <c r="E298" s="4" t="s">
        <v>4</v>
      </c>
      <c r="F298" s="64" t="s">
        <v>4</v>
      </c>
      <c r="G298" s="95"/>
      <c r="H298" s="96">
        <v>46129</v>
      </c>
    </row>
    <row r="299" spans="1:11" ht="15.75" x14ac:dyDescent="0.25">
      <c r="A299" s="5"/>
      <c r="B299" s="4"/>
      <c r="C299" s="4"/>
      <c r="D299" s="121"/>
      <c r="E299" s="4"/>
      <c r="F299" s="64"/>
      <c r="G299" s="95"/>
      <c r="H299" s="96"/>
    </row>
    <row r="300" spans="1:11" ht="15.75" x14ac:dyDescent="0.25">
      <c r="A300" s="5"/>
      <c r="B300" s="4"/>
      <c r="C300" s="4"/>
      <c r="D300" s="121"/>
      <c r="E300" s="4"/>
      <c r="F300" s="64"/>
      <c r="G300" s="119"/>
      <c r="H300" s="96"/>
    </row>
    <row r="301" spans="1:11" ht="15.75" x14ac:dyDescent="0.25">
      <c r="A301" s="5"/>
      <c r="B301" s="4"/>
      <c r="C301" s="4"/>
      <c r="D301" s="33"/>
      <c r="E301" s="4"/>
      <c r="F301" s="64"/>
      <c r="G301" s="23"/>
      <c r="H301" s="96"/>
      <c r="K301" s="47" t="s">
        <v>1</v>
      </c>
    </row>
    <row r="302" spans="1:11" ht="15.75" x14ac:dyDescent="0.25">
      <c r="A302" s="5"/>
      <c r="B302" s="4"/>
      <c r="C302" s="4"/>
      <c r="D302" s="33"/>
      <c r="E302" s="4"/>
      <c r="F302" s="64"/>
      <c r="G302" s="23"/>
      <c r="H302" s="96"/>
    </row>
    <row r="303" spans="1:11" ht="15.75" x14ac:dyDescent="0.25">
      <c r="A303" s="5" t="s">
        <v>69</v>
      </c>
      <c r="B303" s="4" t="s">
        <v>69</v>
      </c>
      <c r="C303" s="4" t="s">
        <v>69</v>
      </c>
      <c r="D303" s="33" t="s">
        <v>69</v>
      </c>
      <c r="E303" s="4" t="s">
        <v>69</v>
      </c>
      <c r="F303" s="64" t="s">
        <v>69</v>
      </c>
      <c r="G303" s="23"/>
      <c r="H303" s="11" t="s">
        <v>69</v>
      </c>
    </row>
    <row r="304" spans="1:11" ht="15.75" x14ac:dyDescent="0.25">
      <c r="A304" s="5"/>
      <c r="B304" s="4"/>
      <c r="C304" s="4"/>
      <c r="D304" s="33"/>
      <c r="E304" s="4"/>
      <c r="F304" s="64"/>
      <c r="G304" s="23"/>
      <c r="H304" s="96"/>
    </row>
    <row r="305" spans="1:8" ht="15.75" x14ac:dyDescent="0.25">
      <c r="A305" s="5"/>
      <c r="B305" s="4"/>
      <c r="C305" s="4"/>
      <c r="D305" s="33"/>
      <c r="E305" s="4"/>
      <c r="F305" s="64"/>
      <c r="G305" s="23"/>
      <c r="H305" s="96"/>
    </row>
    <row r="306" spans="1:8" ht="15.75" x14ac:dyDescent="0.25">
      <c r="A306" s="5"/>
      <c r="B306" s="4"/>
      <c r="C306" s="4"/>
      <c r="D306" s="33"/>
      <c r="E306" s="4"/>
      <c r="F306" s="64"/>
      <c r="G306" s="23"/>
      <c r="H306" s="96"/>
    </row>
    <row r="307" spans="1:8" ht="15.75" x14ac:dyDescent="0.25">
      <c r="A307" s="5"/>
      <c r="B307" s="4"/>
      <c r="C307" s="4"/>
      <c r="D307" s="33"/>
      <c r="E307" s="4"/>
      <c r="F307" s="64"/>
      <c r="G307" s="23"/>
      <c r="H307" s="96"/>
    </row>
    <row r="308" spans="1:8" ht="15.75" x14ac:dyDescent="0.25">
      <c r="A308" s="5"/>
      <c r="B308" s="4"/>
      <c r="C308" s="4"/>
      <c r="D308" s="33"/>
      <c r="E308" s="4"/>
      <c r="F308" s="64"/>
      <c r="G308" s="23"/>
      <c r="H308" s="96"/>
    </row>
    <row r="309" spans="1:8" ht="15.75" x14ac:dyDescent="0.25">
      <c r="A309" s="5"/>
      <c r="B309" s="4"/>
      <c r="C309" s="4"/>
      <c r="D309" s="33"/>
      <c r="E309" s="4"/>
      <c r="F309" s="64"/>
      <c r="G309" s="23"/>
      <c r="H309" s="96"/>
    </row>
    <row r="310" spans="1:8" ht="15.75" x14ac:dyDescent="0.25">
      <c r="A310" s="5"/>
      <c r="B310" s="4"/>
      <c r="C310" s="4"/>
      <c r="D310" s="33"/>
      <c r="E310" s="4"/>
      <c r="F310" s="64"/>
      <c r="G310" s="23"/>
      <c r="H310" s="96"/>
    </row>
    <row r="311" spans="1:8" ht="15.75" x14ac:dyDescent="0.25">
      <c r="A311" s="5"/>
      <c r="B311" s="4"/>
      <c r="C311" s="4"/>
      <c r="D311" s="33"/>
      <c r="E311" s="4"/>
      <c r="F311" s="64"/>
      <c r="G311" s="23"/>
      <c r="H311" s="96"/>
    </row>
    <row r="312" spans="1:8" ht="15.75" x14ac:dyDescent="0.25">
      <c r="A312" s="5"/>
      <c r="B312" s="4"/>
      <c r="C312" s="4"/>
      <c r="D312" s="33"/>
      <c r="E312" s="4"/>
      <c r="F312" s="64"/>
      <c r="G312" s="23"/>
      <c r="H312" s="96"/>
    </row>
    <row r="313" spans="1:8" ht="15.75" x14ac:dyDescent="0.25">
      <c r="A313" s="5" t="s">
        <v>988</v>
      </c>
      <c r="B313" s="4" t="s">
        <v>15</v>
      </c>
      <c r="C313" s="4" t="s">
        <v>15</v>
      </c>
      <c r="D313" s="33">
        <v>104.87</v>
      </c>
      <c r="E313" s="4" t="s">
        <v>4</v>
      </c>
      <c r="F313" s="64" t="s">
        <v>4</v>
      </c>
      <c r="G313" s="23"/>
      <c r="H313" s="96">
        <v>46134</v>
      </c>
    </row>
    <row r="314" spans="1:8" ht="15.75" x14ac:dyDescent="0.25">
      <c r="A314" s="5" t="s">
        <v>989</v>
      </c>
      <c r="B314" s="4" t="s">
        <v>148</v>
      </c>
      <c r="C314" s="4" t="s">
        <v>38</v>
      </c>
      <c r="D314" s="33">
        <v>351.27</v>
      </c>
      <c r="E314" s="4" t="s">
        <v>4</v>
      </c>
      <c r="F314" s="64" t="s">
        <v>4</v>
      </c>
      <c r="G314" s="95"/>
      <c r="H314" s="96">
        <v>46134</v>
      </c>
    </row>
    <row r="315" spans="1:8" ht="15.75" x14ac:dyDescent="0.25">
      <c r="A315" s="5" t="s">
        <v>990</v>
      </c>
      <c r="B315" s="4" t="s">
        <v>148</v>
      </c>
      <c r="C315" s="4" t="s">
        <v>38</v>
      </c>
      <c r="D315" s="33">
        <v>104.87</v>
      </c>
      <c r="E315" s="4" t="s">
        <v>4</v>
      </c>
      <c r="F315" s="64" t="s">
        <v>4</v>
      </c>
      <c r="G315" s="95"/>
      <c r="H315" s="96">
        <v>46134</v>
      </c>
    </row>
    <row r="316" spans="1:8" ht="15.75" x14ac:dyDescent="0.25">
      <c r="A316" s="5" t="s">
        <v>991</v>
      </c>
      <c r="B316" s="4" t="s">
        <v>148</v>
      </c>
      <c r="C316" s="4" t="s">
        <v>38</v>
      </c>
      <c r="D316" s="33">
        <v>104.87</v>
      </c>
      <c r="E316" s="4" t="s">
        <v>4</v>
      </c>
      <c r="F316" s="64" t="s">
        <v>4</v>
      </c>
      <c r="G316" s="23" t="s">
        <v>69</v>
      </c>
      <c r="H316" s="96">
        <v>46134</v>
      </c>
    </row>
    <row r="317" spans="1:8" ht="15.75" x14ac:dyDescent="0.25">
      <c r="A317" s="5" t="s">
        <v>992</v>
      </c>
      <c r="B317" s="4" t="s">
        <v>148</v>
      </c>
      <c r="C317" s="4" t="s">
        <v>38</v>
      </c>
      <c r="D317" s="121">
        <v>104.87</v>
      </c>
      <c r="E317" s="4" t="s">
        <v>4</v>
      </c>
      <c r="F317" s="64" t="s">
        <v>4</v>
      </c>
      <c r="G317" s="23"/>
      <c r="H317" s="96">
        <v>46134</v>
      </c>
    </row>
    <row r="318" spans="1:8" ht="15.75" x14ac:dyDescent="0.25">
      <c r="A318" s="5" t="s">
        <v>993</v>
      </c>
      <c r="B318" s="4" t="s">
        <v>148</v>
      </c>
      <c r="C318" s="4" t="s">
        <v>38</v>
      </c>
      <c r="D318" s="121">
        <v>62.99</v>
      </c>
      <c r="E318" s="4" t="s">
        <v>4</v>
      </c>
      <c r="F318" s="64" t="s">
        <v>4</v>
      </c>
      <c r="G318" s="23"/>
      <c r="H318" s="96">
        <v>46134</v>
      </c>
    </row>
    <row r="319" spans="1:8" ht="15.75" x14ac:dyDescent="0.25">
      <c r="A319" s="5"/>
      <c r="B319" s="4"/>
      <c r="C319" s="4"/>
      <c r="D319" s="121"/>
      <c r="E319" s="4"/>
      <c r="F319" s="64"/>
      <c r="G319" s="49"/>
      <c r="H319" s="96"/>
    </row>
    <row r="320" spans="1:8" ht="15.75" x14ac:dyDescent="0.25">
      <c r="A320" s="5"/>
      <c r="B320" s="4"/>
      <c r="C320" s="4"/>
      <c r="D320" s="121"/>
      <c r="E320" s="4"/>
      <c r="F320" s="64"/>
      <c r="G320" s="23"/>
      <c r="H320" s="11"/>
    </row>
    <row r="321" spans="1:8" ht="15.75" x14ac:dyDescent="0.25">
      <c r="A321" s="5"/>
      <c r="B321" s="4"/>
      <c r="C321" s="4"/>
      <c r="D321" s="121"/>
      <c r="E321" s="4"/>
      <c r="F321" s="64"/>
      <c r="G321" s="23"/>
      <c r="H321" s="11"/>
    </row>
    <row r="322" spans="1:8" ht="15.75" x14ac:dyDescent="0.25">
      <c r="A322" s="5"/>
      <c r="B322" s="4"/>
      <c r="C322" s="4"/>
      <c r="D322" s="121"/>
      <c r="E322" s="4"/>
      <c r="F322" s="64"/>
      <c r="G322" s="68"/>
      <c r="H322" s="11"/>
    </row>
    <row r="323" spans="1:8" ht="15.75" x14ac:dyDescent="0.25">
      <c r="A323" s="5"/>
      <c r="B323" s="4"/>
      <c r="C323" s="4"/>
      <c r="D323" s="121"/>
      <c r="E323" s="4"/>
      <c r="F323" s="64"/>
      <c r="G323" s="84"/>
      <c r="H323" s="11"/>
    </row>
    <row r="324" spans="1:8" ht="15.75" x14ac:dyDescent="0.25">
      <c r="A324" s="5"/>
      <c r="B324" s="4"/>
      <c r="C324" s="4"/>
      <c r="D324" s="12"/>
      <c r="E324" s="4"/>
      <c r="F324" s="64"/>
      <c r="G324" s="79"/>
      <c r="H324" s="11"/>
    </row>
    <row r="325" spans="1:8" ht="15.75" x14ac:dyDescent="0.25">
      <c r="A325" s="5"/>
      <c r="B325" s="4"/>
      <c r="C325" s="4"/>
      <c r="D325" s="12"/>
      <c r="E325" s="4"/>
      <c r="F325" s="64"/>
      <c r="G325" s="23"/>
      <c r="H325" s="11"/>
    </row>
    <row r="326" spans="1:8" ht="15.75" x14ac:dyDescent="0.25">
      <c r="A326" s="5"/>
      <c r="B326" s="4"/>
      <c r="C326" s="4"/>
      <c r="D326" s="12"/>
      <c r="E326" s="4"/>
      <c r="F326" s="64"/>
      <c r="G326" s="23"/>
      <c r="H326" s="11"/>
    </row>
    <row r="327" spans="1:8" ht="15.75" x14ac:dyDescent="0.25">
      <c r="A327" s="5"/>
      <c r="B327" s="4"/>
      <c r="C327" s="4"/>
      <c r="D327" s="12"/>
      <c r="E327" s="4"/>
      <c r="F327" s="64"/>
      <c r="G327" s="23"/>
      <c r="H327" s="11"/>
    </row>
    <row r="328" spans="1:8" ht="15.75" x14ac:dyDescent="0.25">
      <c r="A328" s="5" t="s">
        <v>69</v>
      </c>
      <c r="B328" s="4" t="s">
        <v>69</v>
      </c>
      <c r="C328" s="4" t="s">
        <v>69</v>
      </c>
      <c r="D328" s="12" t="s">
        <v>69</v>
      </c>
      <c r="E328" s="4" t="s">
        <v>69</v>
      </c>
      <c r="F328" s="64" t="s">
        <v>69</v>
      </c>
      <c r="G328" s="23" t="s">
        <v>69</v>
      </c>
      <c r="H328" s="11" t="s">
        <v>69</v>
      </c>
    </row>
    <row r="329" spans="1:8" ht="15.75" x14ac:dyDescent="0.25">
      <c r="A329" s="5"/>
      <c r="B329" s="4"/>
      <c r="C329" s="4"/>
      <c r="D329" s="12"/>
      <c r="E329" s="4"/>
      <c r="F329" s="64"/>
      <c r="G329" s="23"/>
      <c r="H329" s="11"/>
    </row>
    <row r="330" spans="1:8" ht="15.75" x14ac:dyDescent="0.25">
      <c r="A330" s="5"/>
      <c r="B330" s="4"/>
      <c r="C330" s="4"/>
      <c r="D330" s="121"/>
      <c r="E330" s="4"/>
      <c r="F330" s="64"/>
      <c r="G330" s="119"/>
      <c r="H330" s="11"/>
    </row>
    <row r="331" spans="1:8" ht="15.75" x14ac:dyDescent="0.25">
      <c r="A331" s="5" t="s">
        <v>970</v>
      </c>
      <c r="B331" s="4" t="s">
        <v>148</v>
      </c>
      <c r="C331" s="4" t="s">
        <v>38</v>
      </c>
      <c r="D331" s="121">
        <v>500</v>
      </c>
      <c r="E331" s="4" t="s">
        <v>4</v>
      </c>
      <c r="F331" s="64" t="s">
        <v>4</v>
      </c>
      <c r="G331" s="119"/>
      <c r="H331" s="11">
        <v>46136</v>
      </c>
    </row>
    <row r="332" spans="1:8" ht="15.75" x14ac:dyDescent="0.25">
      <c r="A332" s="5" t="s">
        <v>1009</v>
      </c>
      <c r="B332" s="4" t="s">
        <v>148</v>
      </c>
      <c r="C332" s="4" t="s">
        <v>38</v>
      </c>
      <c r="D332" s="121">
        <v>46.25</v>
      </c>
      <c r="E332" s="4" t="s">
        <v>4</v>
      </c>
      <c r="F332" s="64" t="s">
        <v>4</v>
      </c>
      <c r="G332" s="119"/>
      <c r="H332" s="11">
        <v>46136</v>
      </c>
    </row>
    <row r="333" spans="1:8" ht="15.75" x14ac:dyDescent="0.25">
      <c r="A333" s="5"/>
      <c r="B333" s="4"/>
      <c r="C333" s="4"/>
      <c r="D333" s="121"/>
      <c r="E333" s="4"/>
      <c r="F333" s="64"/>
      <c r="G333" s="119"/>
      <c r="H333" s="11"/>
    </row>
    <row r="334" spans="1:8" ht="15.75" x14ac:dyDescent="0.25">
      <c r="A334" s="5"/>
      <c r="B334" s="4"/>
      <c r="C334" s="4"/>
      <c r="D334" s="121"/>
      <c r="E334" s="4"/>
      <c r="F334" s="64"/>
      <c r="G334" s="119"/>
      <c r="H334" s="11"/>
    </row>
    <row r="335" spans="1:8" ht="15.75" x14ac:dyDescent="0.25">
      <c r="A335" s="5" t="s">
        <v>69</v>
      </c>
      <c r="B335" s="4" t="s">
        <v>69</v>
      </c>
      <c r="C335" s="4" t="s">
        <v>69</v>
      </c>
      <c r="D335" s="12" t="s">
        <v>69</v>
      </c>
      <c r="E335" s="4" t="s">
        <v>69</v>
      </c>
      <c r="F335" s="64" t="s">
        <v>69</v>
      </c>
      <c r="G335" s="119"/>
      <c r="H335" s="11" t="s">
        <v>69</v>
      </c>
    </row>
    <row r="336" spans="1:8" ht="15.75" x14ac:dyDescent="0.25">
      <c r="A336" s="5"/>
      <c r="B336" s="4"/>
      <c r="C336" s="4"/>
      <c r="D336" s="121"/>
      <c r="E336" s="4"/>
      <c r="F336" s="64"/>
      <c r="G336" s="119"/>
      <c r="H336" s="11"/>
    </row>
    <row r="337" spans="1:8" ht="15.75" x14ac:dyDescent="0.25">
      <c r="A337" s="5"/>
      <c r="B337" s="4"/>
      <c r="C337" s="4"/>
      <c r="D337" s="14"/>
      <c r="E337" s="4"/>
      <c r="F337" s="64"/>
      <c r="G337" s="23"/>
      <c r="H337" s="11"/>
    </row>
    <row r="338" spans="1:8" ht="15.75" x14ac:dyDescent="0.25">
      <c r="A338" s="5"/>
      <c r="B338" s="4"/>
      <c r="C338" s="4"/>
      <c r="D338" s="12"/>
      <c r="E338" s="4"/>
      <c r="F338" s="64"/>
      <c r="G338" s="23"/>
      <c r="H338" s="11"/>
    </row>
    <row r="339" spans="1:8" ht="15.75" x14ac:dyDescent="0.25">
      <c r="A339" s="5" t="s">
        <v>69</v>
      </c>
      <c r="B339" s="4" t="s">
        <v>69</v>
      </c>
      <c r="C339" s="4" t="s">
        <v>69</v>
      </c>
      <c r="D339" s="12" t="s">
        <v>69</v>
      </c>
      <c r="E339" s="4" t="s">
        <v>69</v>
      </c>
      <c r="F339" s="64" t="s">
        <v>69</v>
      </c>
      <c r="G339" s="23"/>
      <c r="H339" s="11" t="s">
        <v>69</v>
      </c>
    </row>
    <row r="340" spans="1:8" ht="15.75" x14ac:dyDescent="0.25">
      <c r="A340" s="5"/>
      <c r="B340" s="4"/>
      <c r="C340" s="4"/>
      <c r="D340" s="12"/>
      <c r="E340" s="4"/>
      <c r="F340" s="64"/>
      <c r="G340" s="23"/>
      <c r="H340" s="11"/>
    </row>
    <row r="341" spans="1:8" ht="15.75" x14ac:dyDescent="0.25">
      <c r="A341" s="5"/>
      <c r="B341" s="4"/>
      <c r="C341" s="4"/>
      <c r="D341" s="121"/>
      <c r="E341" s="4"/>
      <c r="F341" s="64"/>
      <c r="G341" s="119"/>
      <c r="H341" s="11"/>
    </row>
    <row r="342" spans="1:8" ht="15.75" x14ac:dyDescent="0.25">
      <c r="A342" s="116"/>
      <c r="B342" s="117"/>
      <c r="C342" s="117"/>
      <c r="D342" s="122"/>
      <c r="E342" s="117"/>
      <c r="F342" s="118"/>
      <c r="G342" s="119"/>
      <c r="H342" s="11"/>
    </row>
    <row r="343" spans="1:8" ht="15.75" x14ac:dyDescent="0.25">
      <c r="A343" s="5"/>
      <c r="B343" s="4"/>
      <c r="C343" s="4"/>
      <c r="D343" s="12"/>
      <c r="E343" s="4"/>
      <c r="F343" s="64"/>
      <c r="G343" s="23"/>
      <c r="H343" s="11"/>
    </row>
    <row r="344" spans="1:8" ht="15.75" x14ac:dyDescent="0.25">
      <c r="A344" s="5"/>
      <c r="B344" s="117"/>
      <c r="C344" s="117"/>
      <c r="D344" s="123"/>
      <c r="E344" s="4"/>
      <c r="F344" s="64"/>
      <c r="G344" s="119"/>
      <c r="H344" s="120"/>
    </row>
    <row r="345" spans="1:8" ht="15.75" x14ac:dyDescent="0.25">
      <c r="A345" s="5"/>
      <c r="B345" s="4"/>
      <c r="C345" s="4"/>
      <c r="D345" s="33"/>
      <c r="E345" s="4"/>
      <c r="F345" s="64"/>
      <c r="G345" s="23"/>
      <c r="H345" s="11"/>
    </row>
    <row r="346" spans="1:8" ht="15.75" x14ac:dyDescent="0.25">
      <c r="A346" s="5"/>
      <c r="B346" s="4"/>
      <c r="C346" s="4"/>
      <c r="D346" s="33"/>
      <c r="E346" s="4"/>
      <c r="F346" s="64"/>
      <c r="G346" s="23"/>
      <c r="H346" s="11"/>
    </row>
    <row r="347" spans="1:8" ht="15.75" x14ac:dyDescent="0.25">
      <c r="A347" s="5" t="s">
        <v>69</v>
      </c>
      <c r="B347" s="4"/>
      <c r="C347" s="4" t="s">
        <v>69</v>
      </c>
      <c r="D347" s="12" t="s">
        <v>69</v>
      </c>
      <c r="E347" s="4" t="s">
        <v>69</v>
      </c>
      <c r="F347" s="64" t="s">
        <v>69</v>
      </c>
      <c r="G347" s="53" t="s">
        <v>69</v>
      </c>
      <c r="H347" s="11" t="s">
        <v>69</v>
      </c>
    </row>
    <row r="348" spans="1:8" ht="15.75" x14ac:dyDescent="0.25">
      <c r="A348" s="5"/>
      <c r="B348" s="4"/>
      <c r="C348" s="4"/>
      <c r="D348" s="121"/>
      <c r="E348" s="4"/>
      <c r="F348" s="64"/>
      <c r="G348" s="23"/>
      <c r="H348" s="11"/>
    </row>
    <row r="349" spans="1:8" ht="15.75" x14ac:dyDescent="0.25">
      <c r="A349" s="5"/>
      <c r="B349" s="4"/>
      <c r="C349" s="4"/>
      <c r="D349" s="12"/>
      <c r="E349" s="4"/>
      <c r="F349" s="64"/>
      <c r="G349" s="23"/>
      <c r="H349" s="11"/>
    </row>
    <row r="350" spans="1:8" ht="15.75" x14ac:dyDescent="0.25">
      <c r="A350" s="5" t="s">
        <v>1037</v>
      </c>
      <c r="B350" s="4" t="s">
        <v>148</v>
      </c>
      <c r="C350" s="4" t="s">
        <v>38</v>
      </c>
      <c r="D350" s="12">
        <v>844.55</v>
      </c>
      <c r="E350" s="4" t="s">
        <v>4</v>
      </c>
      <c r="F350" s="64" t="s">
        <v>4</v>
      </c>
      <c r="G350" s="23"/>
      <c r="H350" s="11">
        <v>46142</v>
      </c>
    </row>
    <row r="351" spans="1:8" ht="15.75" x14ac:dyDescent="0.25">
      <c r="A351" s="5"/>
      <c r="B351" s="4"/>
      <c r="C351" s="4"/>
      <c r="D351" s="12"/>
      <c r="E351" s="4"/>
      <c r="F351" s="64"/>
      <c r="G351" s="23"/>
      <c r="H351" s="11"/>
    </row>
    <row r="352" spans="1:8" ht="15.75" x14ac:dyDescent="0.25">
      <c r="A352" s="5"/>
      <c r="B352" s="4"/>
      <c r="C352" s="4"/>
      <c r="D352" s="12"/>
      <c r="E352" s="4"/>
      <c r="F352" s="64"/>
      <c r="G352" s="23"/>
      <c r="H352" s="11"/>
    </row>
    <row r="353" spans="1:8" ht="15.75" x14ac:dyDescent="0.25">
      <c r="A353" s="5" t="s">
        <v>69</v>
      </c>
      <c r="B353" s="4" t="s">
        <v>69</v>
      </c>
      <c r="C353" s="4" t="s">
        <v>69</v>
      </c>
      <c r="D353" s="12" t="s">
        <v>69</v>
      </c>
      <c r="E353" s="4" t="s">
        <v>69</v>
      </c>
      <c r="F353" s="64" t="s">
        <v>69</v>
      </c>
      <c r="G353" s="23" t="s">
        <v>69</v>
      </c>
      <c r="H353" s="11" t="s">
        <v>69</v>
      </c>
    </row>
    <row r="354" spans="1:8" ht="15.75" x14ac:dyDescent="0.25">
      <c r="A354" s="5" t="s">
        <v>69</v>
      </c>
      <c r="B354" s="4" t="s">
        <v>946</v>
      </c>
      <c r="C354" s="4" t="s">
        <v>69</v>
      </c>
      <c r="D354" s="12" t="s">
        <v>69</v>
      </c>
      <c r="E354" s="4" t="s">
        <v>69</v>
      </c>
      <c r="F354" s="64" t="s">
        <v>69</v>
      </c>
      <c r="G354" s="23"/>
      <c r="H354" s="11" t="s">
        <v>69</v>
      </c>
    </row>
    <row r="355" spans="1:8" ht="15.75" x14ac:dyDescent="0.25">
      <c r="A355" s="5"/>
      <c r="B355" s="4"/>
      <c r="C355" s="4"/>
      <c r="D355" s="33"/>
      <c r="E355" s="4"/>
      <c r="F355" s="64"/>
      <c r="G355" s="23"/>
      <c r="H355" s="11"/>
    </row>
    <row r="356" spans="1:8" ht="15.75" x14ac:dyDescent="0.25">
      <c r="A356" s="5"/>
      <c r="B356" s="4"/>
      <c r="C356" s="4"/>
      <c r="D356" s="102"/>
      <c r="E356" s="4"/>
      <c r="F356" s="64"/>
      <c r="G356" s="100"/>
      <c r="H356" s="101"/>
    </row>
    <row r="357" spans="1:8" ht="15.75" x14ac:dyDescent="0.25">
      <c r="A357" s="5"/>
      <c r="B357" s="4"/>
      <c r="C357" s="4"/>
      <c r="D357" s="43"/>
      <c r="E357" s="4"/>
      <c r="F357" s="64"/>
      <c r="G357" s="53"/>
      <c r="H357" s="11"/>
    </row>
    <row r="358" spans="1:8" ht="15.75" x14ac:dyDescent="0.25">
      <c r="A358" s="5"/>
      <c r="B358" s="4"/>
      <c r="C358" s="4"/>
      <c r="D358" s="43"/>
      <c r="E358" s="4"/>
      <c r="F358" s="64"/>
      <c r="G358" s="53"/>
      <c r="H358" s="11"/>
    </row>
    <row r="359" spans="1:8" ht="15.75" x14ac:dyDescent="0.25">
      <c r="A359" s="5"/>
      <c r="B359" s="4"/>
      <c r="C359" s="4"/>
      <c r="D359" s="43"/>
      <c r="E359" s="4"/>
      <c r="F359" s="64"/>
      <c r="G359" s="53"/>
      <c r="H359" s="11"/>
    </row>
    <row r="360" spans="1:8" ht="15.75" x14ac:dyDescent="0.25">
      <c r="A360" s="5"/>
      <c r="B360" s="4"/>
      <c r="C360" s="4"/>
      <c r="D360" s="66"/>
      <c r="E360" s="4"/>
      <c r="F360" s="64"/>
      <c r="G360" s="53"/>
      <c r="H360" s="11"/>
    </row>
    <row r="361" spans="1:8" ht="15.75" x14ac:dyDescent="0.25">
      <c r="A361" s="5"/>
      <c r="B361" s="4"/>
      <c r="C361" s="4"/>
      <c r="D361" s="33"/>
      <c r="E361" s="4"/>
      <c r="F361" s="64"/>
      <c r="G361" s="53"/>
      <c r="H361" s="11"/>
    </row>
    <row r="362" spans="1:8" ht="15.75" x14ac:dyDescent="0.25">
      <c r="A362" s="116"/>
      <c r="B362" s="117"/>
      <c r="C362" s="117"/>
      <c r="D362" s="121"/>
      <c r="E362" s="117"/>
      <c r="F362" s="118"/>
      <c r="G362" s="53" t="s">
        <v>69</v>
      </c>
      <c r="H362" s="11" t="s">
        <v>69</v>
      </c>
    </row>
    <row r="363" spans="1:8" ht="15.75" x14ac:dyDescent="0.25">
      <c r="A363" s="5"/>
      <c r="B363" s="4"/>
      <c r="C363" s="4"/>
      <c r="D363" s="41"/>
      <c r="E363" s="4"/>
      <c r="F363" s="64"/>
      <c r="G363" s="53"/>
      <c r="H363" s="11"/>
    </row>
    <row r="364" spans="1:8" ht="15.75" x14ac:dyDescent="0.25">
      <c r="A364" s="5" t="s">
        <v>69</v>
      </c>
      <c r="B364" s="4" t="s">
        <v>946</v>
      </c>
      <c r="C364" s="4" t="s">
        <v>69</v>
      </c>
      <c r="D364" s="33" t="s">
        <v>69</v>
      </c>
      <c r="E364" s="4"/>
      <c r="F364" s="64"/>
      <c r="G364" s="53" t="s">
        <v>69</v>
      </c>
      <c r="H364" s="11"/>
    </row>
    <row r="365" spans="1:8" ht="15.75" x14ac:dyDescent="0.25">
      <c r="A365" s="5" t="s">
        <v>69</v>
      </c>
      <c r="B365" s="4" t="s">
        <v>69</v>
      </c>
      <c r="C365" s="4" t="s">
        <v>69</v>
      </c>
      <c r="D365" s="14" t="s">
        <v>69</v>
      </c>
      <c r="E365" s="4" t="s">
        <v>69</v>
      </c>
      <c r="F365" s="64"/>
      <c r="G365" s="53" t="s">
        <v>69</v>
      </c>
      <c r="H365" s="11"/>
    </row>
    <row r="366" spans="1:8" ht="15.75" x14ac:dyDescent="0.25">
      <c r="A366" s="5"/>
      <c r="B366" s="4"/>
      <c r="C366" s="4"/>
      <c r="D366" s="33"/>
      <c r="E366" s="4"/>
      <c r="F366" s="64"/>
      <c r="G366" s="23"/>
      <c r="H366" s="11"/>
    </row>
    <row r="367" spans="1:8" ht="15.75" x14ac:dyDescent="0.25">
      <c r="A367" s="5"/>
      <c r="B367" s="4"/>
      <c r="C367" s="4"/>
      <c r="D367" s="33"/>
      <c r="E367" s="4"/>
      <c r="F367" s="64"/>
      <c r="G367" s="23"/>
      <c r="H367" s="11"/>
    </row>
    <row r="368" spans="1:8" ht="15.75" x14ac:dyDescent="0.25">
      <c r="A368" s="5"/>
      <c r="B368" s="4"/>
      <c r="C368" s="4"/>
      <c r="D368" s="33"/>
      <c r="E368" s="4"/>
      <c r="F368" s="64"/>
      <c r="G368" s="23"/>
      <c r="H368" s="11"/>
    </row>
    <row r="369" spans="1:8" ht="15.75" x14ac:dyDescent="0.25">
      <c r="A369" s="5"/>
      <c r="B369" s="4"/>
      <c r="C369" s="4"/>
      <c r="D369" s="99"/>
      <c r="E369" s="4"/>
      <c r="F369" s="64"/>
      <c r="G369" s="100"/>
      <c r="H369" s="11"/>
    </row>
    <row r="370" spans="1:8" ht="15.75" x14ac:dyDescent="0.25">
      <c r="A370" s="5"/>
      <c r="B370" s="4"/>
      <c r="C370" s="4"/>
      <c r="D370" s="33"/>
      <c r="E370" s="4"/>
      <c r="F370" s="64"/>
      <c r="G370" s="53"/>
      <c r="H370" s="11"/>
    </row>
    <row r="371" spans="1:8" ht="15.75" x14ac:dyDescent="0.25">
      <c r="A371" s="116"/>
      <c r="B371" s="117"/>
      <c r="C371" s="117"/>
      <c r="D371" s="121"/>
      <c r="E371" s="117"/>
      <c r="F371" s="118"/>
      <c r="G371" s="119"/>
      <c r="H371" s="11"/>
    </row>
    <row r="372" spans="1:8" ht="15.75" x14ac:dyDescent="0.25">
      <c r="A372" s="5" t="s">
        <v>69</v>
      </c>
      <c r="B372" s="4" t="s">
        <v>69</v>
      </c>
      <c r="C372" s="4" t="s">
        <v>69</v>
      </c>
      <c r="D372" s="12" t="s">
        <v>69</v>
      </c>
      <c r="E372" s="4"/>
      <c r="F372" s="64"/>
      <c r="G372" s="53" t="s">
        <v>69</v>
      </c>
      <c r="H372" s="11"/>
    </row>
    <row r="373" spans="1:8" ht="15.75" x14ac:dyDescent="0.25">
      <c r="A373" s="5" t="s">
        <v>69</v>
      </c>
      <c r="B373" s="4" t="s">
        <v>69</v>
      </c>
      <c r="C373" s="4" t="s">
        <v>69</v>
      </c>
      <c r="D373" s="12" t="s">
        <v>69</v>
      </c>
      <c r="E373" s="4"/>
      <c r="F373" s="64"/>
      <c r="G373" s="104"/>
      <c r="H373" s="85"/>
    </row>
    <row r="374" spans="1:8" ht="15.75" x14ac:dyDescent="0.25">
      <c r="A374" s="5" t="s">
        <v>69</v>
      </c>
      <c r="B374" s="4" t="s">
        <v>69</v>
      </c>
      <c r="C374" s="4" t="s">
        <v>69</v>
      </c>
      <c r="D374" s="12" t="s">
        <v>69</v>
      </c>
      <c r="E374" s="4"/>
      <c r="F374" s="64"/>
      <c r="G374" s="84"/>
      <c r="H374" s="85"/>
    </row>
    <row r="375" spans="1:8" ht="15.75" x14ac:dyDescent="0.25">
      <c r="A375" s="5" t="s">
        <v>79</v>
      </c>
      <c r="B375" s="4" t="s">
        <v>84</v>
      </c>
      <c r="C375" s="4" t="s">
        <v>84</v>
      </c>
      <c r="D375" s="12" t="s">
        <v>69</v>
      </c>
      <c r="E375" s="4"/>
      <c r="F375" s="64"/>
      <c r="G375" s="53" t="s">
        <v>96</v>
      </c>
      <c r="H375" s="85"/>
    </row>
    <row r="376" spans="1:8" ht="15.75" x14ac:dyDescent="0.25">
      <c r="A376" s="5" t="s">
        <v>80</v>
      </c>
      <c r="B376" s="4" t="s">
        <v>84</v>
      </c>
      <c r="C376" s="4" t="s">
        <v>84</v>
      </c>
      <c r="D376" s="13">
        <v>3793.08</v>
      </c>
      <c r="E376" s="4"/>
      <c r="F376" s="64"/>
      <c r="G376" s="53" t="s">
        <v>96</v>
      </c>
      <c r="H376" s="85"/>
    </row>
    <row r="377" spans="1:8" ht="15.75" x14ac:dyDescent="0.25">
      <c r="A377" s="5" t="s">
        <v>69</v>
      </c>
      <c r="B377" s="4" t="s">
        <v>69</v>
      </c>
      <c r="C377" s="4" t="s">
        <v>69</v>
      </c>
      <c r="D377" s="12" t="s">
        <v>69</v>
      </c>
      <c r="E377" s="4"/>
      <c r="F377" s="64"/>
      <c r="G377" s="119"/>
      <c r="H377" s="120"/>
    </row>
    <row r="378" spans="1:8" ht="15.75" x14ac:dyDescent="0.25">
      <c r="A378" s="5"/>
      <c r="B378" s="4"/>
      <c r="C378" s="4"/>
      <c r="D378" s="33"/>
      <c r="E378" s="4"/>
      <c r="F378" s="64"/>
      <c r="G378" s="84"/>
      <c r="H378" s="85"/>
    </row>
    <row r="379" spans="1:8" ht="15.75" x14ac:dyDescent="0.25">
      <c r="A379" s="116"/>
      <c r="B379" s="117"/>
      <c r="C379" s="117"/>
      <c r="D379" s="121"/>
      <c r="E379" s="117"/>
      <c r="F379" s="118"/>
      <c r="G379" s="119"/>
      <c r="H379" s="120"/>
    </row>
    <row r="380" spans="1:8" ht="15.75" x14ac:dyDescent="0.25">
      <c r="A380" s="116"/>
      <c r="B380" s="117"/>
      <c r="C380" s="117"/>
      <c r="D380" s="121"/>
      <c r="E380" s="117"/>
      <c r="F380" s="118"/>
      <c r="G380" s="119"/>
      <c r="H380" s="120"/>
    </row>
    <row r="381" spans="1:8" ht="15.75" x14ac:dyDescent="0.25">
      <c r="A381" t="s">
        <v>69</v>
      </c>
      <c r="D381" s="125">
        <v>0</v>
      </c>
      <c r="F381" s="64" t="s">
        <v>115</v>
      </c>
      <c r="G381" t="s">
        <v>69</v>
      </c>
    </row>
    <row r="382" spans="1:8" ht="15.75" x14ac:dyDescent="0.25">
      <c r="A382" s="6" t="s">
        <v>5</v>
      </c>
      <c r="B382" s="4"/>
      <c r="C382" s="4"/>
      <c r="D382" s="12">
        <f>SUBTOTAL(9,D1:D381)</f>
        <v>124470.88000000003</v>
      </c>
      <c r="E382" s="4"/>
      <c r="F382" s="64" t="s">
        <v>115</v>
      </c>
      <c r="G382" s="23"/>
      <c r="H382" s="3"/>
    </row>
    <row r="383" spans="1:8" ht="15.75" x14ac:dyDescent="0.25">
      <c r="A383" s="5" t="s">
        <v>40</v>
      </c>
      <c r="B383" s="6" t="s">
        <v>154</v>
      </c>
      <c r="C383" s="6"/>
      <c r="D383" s="16"/>
      <c r="E383" s="4"/>
      <c r="F383" s="64" t="s">
        <v>115</v>
      </c>
      <c r="G383" s="23"/>
      <c r="H383" s="3"/>
    </row>
    <row r="384" spans="1:8" ht="15.75" x14ac:dyDescent="0.25">
      <c r="A384" s="116"/>
      <c r="B384" s="117"/>
      <c r="C384" s="117"/>
      <c r="D384" s="121"/>
      <c r="E384" s="117"/>
      <c r="F384" s="118"/>
      <c r="G384" s="119"/>
      <c r="H384" s="120" t="s">
        <v>69</v>
      </c>
    </row>
    <row r="385" spans="1:8" ht="21" x14ac:dyDescent="0.35">
      <c r="A385" s="127" t="s">
        <v>160</v>
      </c>
      <c r="B385" s="127"/>
      <c r="C385" s="127"/>
      <c r="D385" s="127"/>
      <c r="E385" s="127"/>
      <c r="F385" s="127"/>
      <c r="G385" s="127"/>
      <c r="H385" s="127"/>
    </row>
    <row r="386" spans="1:8" ht="15.75" x14ac:dyDescent="0.25">
      <c r="A386" s="5" t="s">
        <v>78</v>
      </c>
      <c r="B386" s="4" t="s">
        <v>147</v>
      </c>
      <c r="C386" s="4" t="s">
        <v>121</v>
      </c>
      <c r="D386" s="17" t="s">
        <v>6</v>
      </c>
      <c r="E386" s="4" t="s">
        <v>3</v>
      </c>
      <c r="F386" s="4" t="s">
        <v>10</v>
      </c>
      <c r="G386" s="24" t="s">
        <v>13</v>
      </c>
      <c r="H386" s="9" t="s">
        <v>14</v>
      </c>
    </row>
    <row r="387" spans="1:8" ht="15.75" x14ac:dyDescent="0.25">
      <c r="A387" s="5" t="s">
        <v>12</v>
      </c>
      <c r="B387" s="4" t="s">
        <v>15</v>
      </c>
      <c r="C387" s="4" t="s">
        <v>15</v>
      </c>
      <c r="D387" s="12">
        <v>16572.349999999999</v>
      </c>
      <c r="E387" s="4" t="s">
        <v>4</v>
      </c>
      <c r="F387" s="4" t="s">
        <v>4</v>
      </c>
      <c r="G387" s="53" t="s">
        <v>104</v>
      </c>
      <c r="H387" s="11">
        <v>46113</v>
      </c>
    </row>
    <row r="388" spans="1:8" ht="15.75" x14ac:dyDescent="0.25">
      <c r="A388" s="5" t="s">
        <v>112</v>
      </c>
      <c r="B388" s="4" t="s">
        <v>148</v>
      </c>
      <c r="C388" s="4" t="s">
        <v>38</v>
      </c>
      <c r="D388" s="13">
        <v>81.400000000000006</v>
      </c>
      <c r="E388" s="4"/>
      <c r="F388" s="4" t="s">
        <v>4</v>
      </c>
      <c r="G388" s="53" t="s">
        <v>92</v>
      </c>
      <c r="H388" s="9">
        <v>46132</v>
      </c>
    </row>
    <row r="389" spans="1:8" ht="15.75" x14ac:dyDescent="0.25">
      <c r="A389" s="5" t="s">
        <v>189</v>
      </c>
      <c r="B389" s="4" t="s">
        <v>148</v>
      </c>
      <c r="C389" s="4" t="s">
        <v>38</v>
      </c>
      <c r="D389" s="13">
        <v>955.56</v>
      </c>
      <c r="E389" s="4"/>
      <c r="F389" s="4"/>
      <c r="G389" s="53" t="s">
        <v>101</v>
      </c>
      <c r="H389" s="9"/>
    </row>
    <row r="390" spans="1:8" ht="15.75" x14ac:dyDescent="0.25">
      <c r="A390" s="5" t="s">
        <v>1005</v>
      </c>
      <c r="B390" s="4" t="s">
        <v>84</v>
      </c>
      <c r="C390" s="4" t="s">
        <v>84</v>
      </c>
      <c r="D390" s="12">
        <v>12292.95</v>
      </c>
      <c r="E390" s="4" t="s">
        <v>4</v>
      </c>
      <c r="F390" s="4" t="s">
        <v>4</v>
      </c>
      <c r="G390" s="53" t="s">
        <v>96</v>
      </c>
      <c r="H390" s="9">
        <v>46132</v>
      </c>
    </row>
    <row r="391" spans="1:8" ht="15.75" x14ac:dyDescent="0.25">
      <c r="A391" s="5" t="s">
        <v>1006</v>
      </c>
      <c r="B391" s="4" t="s">
        <v>84</v>
      </c>
      <c r="C391" s="4" t="s">
        <v>84</v>
      </c>
      <c r="D391" s="38">
        <v>11774.89</v>
      </c>
      <c r="E391" s="4" t="s">
        <v>4</v>
      </c>
      <c r="F391" s="4" t="s">
        <v>4</v>
      </c>
      <c r="G391" s="53" t="s">
        <v>96</v>
      </c>
      <c r="H391" s="9">
        <v>46132</v>
      </c>
    </row>
    <row r="392" spans="1:8" ht="15.75" x14ac:dyDescent="0.25">
      <c r="A392" s="5" t="s">
        <v>1007</v>
      </c>
      <c r="B392" s="4" t="s">
        <v>84</v>
      </c>
      <c r="C392" s="4" t="s">
        <v>84</v>
      </c>
      <c r="D392" s="56">
        <v>27182.33</v>
      </c>
      <c r="E392" s="4" t="s">
        <v>4</v>
      </c>
      <c r="F392" s="4" t="s">
        <v>4</v>
      </c>
      <c r="G392" s="53" t="s">
        <v>96</v>
      </c>
      <c r="H392" s="9">
        <v>46132</v>
      </c>
    </row>
    <row r="393" spans="1:8" ht="15.75" x14ac:dyDescent="0.25">
      <c r="A393" s="5" t="s">
        <v>27</v>
      </c>
      <c r="B393" s="4" t="s">
        <v>148</v>
      </c>
      <c r="C393" s="4" t="s">
        <v>38</v>
      </c>
      <c r="D393" s="12">
        <v>44.27</v>
      </c>
      <c r="E393" s="4"/>
      <c r="F393" s="4" t="s">
        <v>4</v>
      </c>
      <c r="G393" s="53" t="s">
        <v>1036</v>
      </c>
      <c r="H393" s="9">
        <v>46142</v>
      </c>
    </row>
    <row r="394" spans="1:8" ht="15.75" x14ac:dyDescent="0.25">
      <c r="A394" s="5" t="s">
        <v>1023</v>
      </c>
      <c r="B394" s="4" t="s">
        <v>141</v>
      </c>
      <c r="C394" s="4" t="s">
        <v>39</v>
      </c>
      <c r="D394" s="12">
        <v>1460</v>
      </c>
      <c r="E394" s="4" t="s">
        <v>4</v>
      </c>
      <c r="F394" s="4" t="s">
        <v>4</v>
      </c>
      <c r="G394" s="53" t="s">
        <v>852</v>
      </c>
      <c r="H394" s="9"/>
    </row>
    <row r="395" spans="1:8" ht="15.75" x14ac:dyDescent="0.25">
      <c r="A395" s="5" t="s">
        <v>784</v>
      </c>
      <c r="B395" s="4" t="s">
        <v>148</v>
      </c>
      <c r="C395" s="4" t="s">
        <v>38</v>
      </c>
      <c r="D395" s="86">
        <v>97.65</v>
      </c>
      <c r="E395" s="4"/>
      <c r="F395" s="4"/>
      <c r="G395" s="112"/>
      <c r="H395" s="113"/>
    </row>
    <row r="396" spans="1:8" ht="15.75" x14ac:dyDescent="0.25">
      <c r="A396" s="5" t="s">
        <v>785</v>
      </c>
      <c r="B396" s="4" t="s">
        <v>148</v>
      </c>
      <c r="C396" s="4" t="s">
        <v>38</v>
      </c>
      <c r="D396" s="86">
        <v>128.30000000000001</v>
      </c>
      <c r="E396" s="4"/>
      <c r="F396" s="4"/>
      <c r="G396" s="112"/>
      <c r="H396" s="113"/>
    </row>
    <row r="397" spans="1:8" ht="15.75" x14ac:dyDescent="0.25">
      <c r="A397" s="5" t="s">
        <v>12</v>
      </c>
      <c r="B397" s="83"/>
      <c r="C397" s="83"/>
      <c r="D397" s="86">
        <v>17353.810000000001</v>
      </c>
      <c r="E397" s="83"/>
      <c r="F397" s="64" t="s">
        <v>4</v>
      </c>
      <c r="G397" s="84"/>
      <c r="H397" s="11" t="s">
        <v>1060</v>
      </c>
    </row>
    <row r="398" spans="1:8" ht="15.75" x14ac:dyDescent="0.25">
      <c r="A398" s="51"/>
      <c r="B398" s="48"/>
      <c r="C398" s="4"/>
      <c r="D398" s="52"/>
      <c r="E398" s="48"/>
      <c r="F398" s="4" t="s">
        <v>115</v>
      </c>
      <c r="G398" s="49"/>
      <c r="H398" s="50"/>
    </row>
    <row r="399" spans="1:8" ht="15.75" x14ac:dyDescent="0.25">
      <c r="A399" s="4" t="s">
        <v>11</v>
      </c>
      <c r="B399" s="27"/>
      <c r="C399" s="4" t="s">
        <v>0</v>
      </c>
      <c r="D399" s="12">
        <f>SUBTOTAL(9,D386:D397)</f>
        <v>87943.510000000009</v>
      </c>
      <c r="E399" s="4"/>
      <c r="F399" s="4" t="s">
        <v>115</v>
      </c>
      <c r="G399" s="24"/>
      <c r="H399" s="11"/>
    </row>
    <row r="400" spans="1:8" ht="15.75" x14ac:dyDescent="0.25">
      <c r="A400" s="5" t="s">
        <v>117</v>
      </c>
      <c r="B400" s="5"/>
      <c r="C400" s="5"/>
      <c r="D400" s="16"/>
      <c r="E400" s="4"/>
      <c r="F400" s="4" t="s">
        <v>115</v>
      </c>
      <c r="G400" s="24"/>
      <c r="H400" s="11"/>
    </row>
    <row r="401" spans="1:8" ht="15.75" x14ac:dyDescent="0.25">
      <c r="A401" s="5"/>
      <c r="B401" s="5"/>
      <c r="C401" s="5"/>
      <c r="D401" s="16"/>
      <c r="E401" s="4"/>
      <c r="F401" s="4"/>
      <c r="G401" s="24"/>
      <c r="H401" s="11"/>
    </row>
    <row r="402" spans="1:8" ht="21" x14ac:dyDescent="0.35">
      <c r="A402" s="127" t="s">
        <v>155</v>
      </c>
      <c r="B402" s="127"/>
      <c r="C402" s="127"/>
      <c r="D402" s="127"/>
      <c r="E402" s="127"/>
      <c r="F402" s="127"/>
      <c r="G402" s="128"/>
    </row>
    <row r="403" spans="1:8" ht="15.75" x14ac:dyDescent="0.25">
      <c r="A403" s="5" t="s">
        <v>7</v>
      </c>
      <c r="B403" s="4" t="s">
        <v>37</v>
      </c>
      <c r="C403" s="17" t="s">
        <v>6</v>
      </c>
      <c r="D403" s="4" t="s">
        <v>3</v>
      </c>
      <c r="E403" s="4" t="s">
        <v>9</v>
      </c>
      <c r="F403" s="108" t="s">
        <v>13</v>
      </c>
      <c r="G403" s="9" t="s">
        <v>14</v>
      </c>
    </row>
    <row r="404" spans="1:8" ht="15.75" x14ac:dyDescent="0.25">
      <c r="A404" s="5" t="s">
        <v>1078</v>
      </c>
      <c r="B404" s="4" t="s">
        <v>120</v>
      </c>
      <c r="C404" s="12">
        <v>5200</v>
      </c>
      <c r="D404" s="4" t="s">
        <v>69</v>
      </c>
      <c r="E404" s="4" t="s">
        <v>4</v>
      </c>
      <c r="F404" s="23"/>
      <c r="G404" s="11">
        <v>46148</v>
      </c>
    </row>
    <row r="405" spans="1:8" ht="15.75" x14ac:dyDescent="0.25">
      <c r="A405" s="5" t="s">
        <v>195</v>
      </c>
      <c r="B405" s="4" t="s">
        <v>188</v>
      </c>
      <c r="C405" s="12">
        <v>93.42</v>
      </c>
      <c r="D405" s="4" t="s">
        <v>69</v>
      </c>
      <c r="E405" s="4" t="s">
        <v>4</v>
      </c>
      <c r="F405" s="23"/>
      <c r="G405" s="11">
        <v>46148</v>
      </c>
    </row>
    <row r="406" spans="1:8" ht="15.75" x14ac:dyDescent="0.25">
      <c r="A406" s="5" t="s">
        <v>1079</v>
      </c>
      <c r="B406" s="4" t="s">
        <v>120</v>
      </c>
      <c r="C406" s="12">
        <v>13000</v>
      </c>
      <c r="D406" s="4" t="s">
        <v>69</v>
      </c>
      <c r="E406" s="4" t="s">
        <v>4</v>
      </c>
      <c r="F406" s="23" t="s">
        <v>69</v>
      </c>
      <c r="G406" s="11">
        <v>46148</v>
      </c>
    </row>
    <row r="407" spans="1:8" ht="15.75" x14ac:dyDescent="0.25">
      <c r="A407" s="5" t="s">
        <v>195</v>
      </c>
      <c r="B407" s="4" t="s">
        <v>188</v>
      </c>
      <c r="C407" s="12">
        <v>92</v>
      </c>
      <c r="D407" s="4" t="s">
        <v>69</v>
      </c>
      <c r="E407" s="4" t="s">
        <v>4</v>
      </c>
      <c r="F407" s="23"/>
      <c r="G407" s="11">
        <v>46148</v>
      </c>
    </row>
    <row r="408" spans="1:8" ht="15.75" x14ac:dyDescent="0.25">
      <c r="A408" s="5" t="s">
        <v>1190</v>
      </c>
      <c r="B408" s="4" t="s">
        <v>120</v>
      </c>
      <c r="C408" s="12">
        <v>5000</v>
      </c>
      <c r="D408" s="4" t="s">
        <v>69</v>
      </c>
      <c r="E408" s="4" t="s">
        <v>4</v>
      </c>
      <c r="F408" s="23"/>
      <c r="G408" s="11">
        <v>46155</v>
      </c>
    </row>
    <row r="409" spans="1:8" ht="15.75" x14ac:dyDescent="0.25">
      <c r="A409" s="5" t="s">
        <v>195</v>
      </c>
      <c r="B409" s="4" t="s">
        <v>188</v>
      </c>
      <c r="C409" s="12">
        <v>52.5</v>
      </c>
      <c r="D409" s="4" t="s">
        <v>69</v>
      </c>
      <c r="E409" s="4" t="s">
        <v>4</v>
      </c>
      <c r="F409" s="23"/>
      <c r="G409" s="11" t="s">
        <v>69</v>
      </c>
    </row>
    <row r="410" spans="1:8" ht="15.75" x14ac:dyDescent="0.25">
      <c r="A410" s="5" t="s">
        <v>1191</v>
      </c>
      <c r="B410" s="4" t="s">
        <v>120</v>
      </c>
      <c r="C410" s="12">
        <v>8300</v>
      </c>
      <c r="D410" s="4" t="s">
        <v>69</v>
      </c>
      <c r="E410" s="4" t="s">
        <v>4</v>
      </c>
      <c r="F410" s="23"/>
      <c r="G410" s="11">
        <v>46155</v>
      </c>
    </row>
    <row r="411" spans="1:8" ht="15.75" x14ac:dyDescent="0.25">
      <c r="A411" s="5" t="s">
        <v>195</v>
      </c>
      <c r="B411" s="4" t="s">
        <v>188</v>
      </c>
      <c r="C411" s="12">
        <v>69.61</v>
      </c>
      <c r="D411" s="4" t="s">
        <v>69</v>
      </c>
      <c r="E411" s="4" t="s">
        <v>4</v>
      </c>
      <c r="F411" s="23"/>
      <c r="G411" s="11"/>
    </row>
    <row r="412" spans="1:8" ht="15.75" x14ac:dyDescent="0.25">
      <c r="A412" s="5" t="s">
        <v>1192</v>
      </c>
      <c r="B412" s="4" t="s">
        <v>120</v>
      </c>
      <c r="C412" s="12">
        <v>8000</v>
      </c>
      <c r="D412" s="4" t="s">
        <v>69</v>
      </c>
      <c r="E412" s="4" t="s">
        <v>4</v>
      </c>
      <c r="F412" s="23"/>
      <c r="G412" s="11">
        <v>46155</v>
      </c>
    </row>
    <row r="413" spans="1:8" ht="15.75" x14ac:dyDescent="0.25">
      <c r="A413" s="5" t="s">
        <v>195</v>
      </c>
      <c r="B413" s="4" t="s">
        <v>188</v>
      </c>
      <c r="C413" s="12">
        <v>54</v>
      </c>
      <c r="D413" s="4" t="s">
        <v>69</v>
      </c>
      <c r="E413" s="4" t="s">
        <v>4</v>
      </c>
      <c r="F413" s="23"/>
      <c r="G413" s="11"/>
    </row>
    <row r="414" spans="1:8" ht="15.75" x14ac:dyDescent="0.25">
      <c r="A414" s="5" t="s">
        <v>1193</v>
      </c>
      <c r="B414" s="4" t="s">
        <v>120</v>
      </c>
      <c r="C414" s="12">
        <v>7500</v>
      </c>
      <c r="D414" s="4" t="s">
        <v>69</v>
      </c>
      <c r="E414" s="4" t="s">
        <v>4</v>
      </c>
      <c r="F414" s="23"/>
      <c r="G414" s="11">
        <v>46155</v>
      </c>
    </row>
    <row r="415" spans="1:8" ht="15.75" x14ac:dyDescent="0.25">
      <c r="A415" s="5" t="s">
        <v>195</v>
      </c>
      <c r="B415" s="4" t="s">
        <v>188</v>
      </c>
      <c r="C415" s="12">
        <v>68.61</v>
      </c>
      <c r="D415" s="4" t="s">
        <v>69</v>
      </c>
      <c r="E415" s="4" t="s">
        <v>4</v>
      </c>
      <c r="F415" s="23"/>
      <c r="G415" s="11"/>
    </row>
    <row r="416" spans="1:8" ht="15.75" x14ac:dyDescent="0.25">
      <c r="A416" s="5" t="s">
        <v>1194</v>
      </c>
      <c r="B416" s="4" t="s">
        <v>120</v>
      </c>
      <c r="C416" s="12">
        <v>5700</v>
      </c>
      <c r="D416" s="4" t="s">
        <v>69</v>
      </c>
      <c r="E416" s="4" t="s">
        <v>4</v>
      </c>
      <c r="F416" s="23"/>
      <c r="G416" s="11">
        <v>46155</v>
      </c>
    </row>
    <row r="417" spans="1:7" ht="15.75" x14ac:dyDescent="0.25">
      <c r="A417" s="5" t="s">
        <v>195</v>
      </c>
      <c r="B417" s="4" t="s">
        <v>188</v>
      </c>
      <c r="C417" s="12">
        <v>69.489999999999995</v>
      </c>
      <c r="D417" s="4" t="s">
        <v>69</v>
      </c>
      <c r="E417" s="4" t="s">
        <v>4</v>
      </c>
      <c r="F417" s="23"/>
      <c r="G417" s="11">
        <v>46155</v>
      </c>
    </row>
    <row r="418" spans="1:7" ht="15.75" x14ac:dyDescent="0.25">
      <c r="A418" s="5" t="s">
        <v>1195</v>
      </c>
      <c r="B418" s="4" t="s">
        <v>120</v>
      </c>
      <c r="C418" s="12">
        <v>5000</v>
      </c>
      <c r="D418" s="4" t="s">
        <v>69</v>
      </c>
      <c r="E418" s="4" t="s">
        <v>1197</v>
      </c>
      <c r="F418" s="23"/>
      <c r="G418" s="11"/>
    </row>
    <row r="419" spans="1:7" ht="15.75" x14ac:dyDescent="0.25">
      <c r="A419" s="5" t="s">
        <v>195</v>
      </c>
      <c r="B419" s="4" t="s">
        <v>188</v>
      </c>
      <c r="C419" s="12">
        <v>51.15</v>
      </c>
      <c r="D419" s="4" t="s">
        <v>69</v>
      </c>
      <c r="E419" s="4" t="s">
        <v>1197</v>
      </c>
      <c r="F419" s="23"/>
      <c r="G419" s="11"/>
    </row>
    <row r="420" spans="1:7" ht="15.75" x14ac:dyDescent="0.25">
      <c r="A420" s="5" t="s">
        <v>194</v>
      </c>
      <c r="B420" s="4" t="s">
        <v>120</v>
      </c>
      <c r="C420" s="12">
        <v>0</v>
      </c>
      <c r="D420" s="4" t="s">
        <v>69</v>
      </c>
      <c r="E420" s="4" t="s">
        <v>69</v>
      </c>
      <c r="F420" s="23"/>
      <c r="G420" s="11"/>
    </row>
    <row r="421" spans="1:7" ht="15.75" x14ac:dyDescent="0.25">
      <c r="A421" s="5" t="s">
        <v>195</v>
      </c>
      <c r="B421" s="4" t="s">
        <v>188</v>
      </c>
      <c r="C421" s="12">
        <v>0</v>
      </c>
      <c r="D421" s="4" t="s">
        <v>69</v>
      </c>
      <c r="E421" s="4" t="s">
        <v>69</v>
      </c>
      <c r="F421" s="23"/>
      <c r="G421" s="11"/>
    </row>
    <row r="422" spans="1:7" ht="15.75" x14ac:dyDescent="0.25">
      <c r="A422" s="5" t="s">
        <v>194</v>
      </c>
      <c r="B422" s="4" t="s">
        <v>120</v>
      </c>
      <c r="C422" s="109">
        <v>0</v>
      </c>
      <c r="D422" s="4" t="s">
        <v>69</v>
      </c>
      <c r="E422" s="4" t="s">
        <v>69</v>
      </c>
      <c r="F422" s="110"/>
      <c r="G422" s="111"/>
    </row>
    <row r="423" spans="1:7" ht="15.75" x14ac:dyDescent="0.25">
      <c r="A423" s="5" t="s">
        <v>194</v>
      </c>
      <c r="B423" s="4" t="s">
        <v>120</v>
      </c>
      <c r="C423" s="14">
        <v>0</v>
      </c>
      <c r="D423" s="4" t="s">
        <v>69</v>
      </c>
      <c r="E423" s="4" t="s">
        <v>69</v>
      </c>
      <c r="F423" s="23"/>
      <c r="G423" s="11"/>
    </row>
    <row r="424" spans="1:7" ht="15.75" x14ac:dyDescent="0.25">
      <c r="A424" s="5" t="s">
        <v>195</v>
      </c>
      <c r="B424" s="4" t="s">
        <v>188</v>
      </c>
      <c r="C424" s="12">
        <v>0</v>
      </c>
      <c r="D424" s="4" t="s">
        <v>69</v>
      </c>
      <c r="E424" s="4" t="s">
        <v>69</v>
      </c>
      <c r="F424" s="23"/>
      <c r="G424" s="11"/>
    </row>
    <row r="425" spans="1:7" ht="15.75" x14ac:dyDescent="0.25">
      <c r="A425" s="5" t="s">
        <v>194</v>
      </c>
      <c r="B425" s="4" t="s">
        <v>120</v>
      </c>
      <c r="C425" s="12">
        <v>0</v>
      </c>
      <c r="D425" s="4" t="s">
        <v>69</v>
      </c>
      <c r="E425" s="4" t="s">
        <v>69</v>
      </c>
      <c r="F425" s="23"/>
      <c r="G425" s="11"/>
    </row>
    <row r="426" spans="1:7" ht="15.75" x14ac:dyDescent="0.25">
      <c r="A426" s="5" t="s">
        <v>195</v>
      </c>
      <c r="B426" s="4" t="s">
        <v>188</v>
      </c>
      <c r="C426" s="60">
        <v>0</v>
      </c>
      <c r="D426" s="4" t="s">
        <v>69</v>
      </c>
      <c r="E426" s="4" t="s">
        <v>69</v>
      </c>
      <c r="F426" s="23"/>
      <c r="G426" s="11"/>
    </row>
    <row r="427" spans="1:7" ht="15.75" x14ac:dyDescent="0.25">
      <c r="A427" s="5" t="s">
        <v>194</v>
      </c>
      <c r="B427" s="4" t="s">
        <v>120</v>
      </c>
      <c r="C427" s="12">
        <v>0</v>
      </c>
      <c r="D427" s="4" t="s">
        <v>69</v>
      </c>
      <c r="E427" s="4" t="s">
        <v>69</v>
      </c>
      <c r="F427" s="23"/>
      <c r="G427" s="11"/>
    </row>
    <row r="428" spans="1:7" ht="15.75" x14ac:dyDescent="0.25">
      <c r="A428" s="5" t="s">
        <v>195</v>
      </c>
      <c r="B428" s="4" t="s">
        <v>188</v>
      </c>
      <c r="C428" s="12">
        <v>0</v>
      </c>
      <c r="D428" s="4" t="s">
        <v>69</v>
      </c>
      <c r="E428" s="4" t="s">
        <v>69</v>
      </c>
      <c r="F428" s="23"/>
      <c r="G428" s="11"/>
    </row>
    <row r="429" spans="1:7" ht="15.75" x14ac:dyDescent="0.25">
      <c r="A429" s="5" t="s">
        <v>194</v>
      </c>
      <c r="B429" s="4" t="s">
        <v>120</v>
      </c>
      <c r="C429" s="12"/>
      <c r="D429" s="4"/>
      <c r="E429" s="4"/>
      <c r="F429" s="23"/>
      <c r="G429" s="11"/>
    </row>
    <row r="430" spans="1:7" ht="15.75" x14ac:dyDescent="0.25">
      <c r="A430" s="5" t="s">
        <v>195</v>
      </c>
      <c r="B430" s="4" t="s">
        <v>188</v>
      </c>
      <c r="C430" s="12"/>
      <c r="D430" s="4"/>
      <c r="E430" s="4"/>
      <c r="F430" s="23"/>
      <c r="G430" s="11"/>
    </row>
    <row r="431" spans="1:7" ht="15.75" x14ac:dyDescent="0.25">
      <c r="A431" s="5" t="s">
        <v>194</v>
      </c>
      <c r="B431" s="4" t="s">
        <v>120</v>
      </c>
      <c r="C431" s="12"/>
      <c r="D431" s="4"/>
      <c r="E431" s="4"/>
      <c r="F431" s="23"/>
      <c r="G431" s="11"/>
    </row>
    <row r="432" spans="1:7" ht="15.75" x14ac:dyDescent="0.25">
      <c r="A432" s="5" t="s">
        <v>195</v>
      </c>
      <c r="B432" s="4" t="s">
        <v>188</v>
      </c>
      <c r="C432" s="12"/>
      <c r="D432" s="4"/>
      <c r="E432" s="4"/>
      <c r="F432" s="23"/>
      <c r="G432" s="11"/>
    </row>
    <row r="433" spans="1:7" ht="15.75" x14ac:dyDescent="0.25">
      <c r="A433" s="5" t="s">
        <v>194</v>
      </c>
      <c r="B433" s="4" t="s">
        <v>120</v>
      </c>
      <c r="C433" s="12"/>
      <c r="D433" s="4"/>
      <c r="E433" s="4"/>
      <c r="F433" s="23"/>
      <c r="G433" s="11"/>
    </row>
    <row r="434" spans="1:7" ht="15.75" x14ac:dyDescent="0.25">
      <c r="A434" s="5" t="s">
        <v>195</v>
      </c>
      <c r="B434" s="4" t="s">
        <v>188</v>
      </c>
      <c r="C434" s="12"/>
      <c r="D434" s="4"/>
      <c r="E434" s="4"/>
      <c r="F434" s="23"/>
      <c r="G434" s="11"/>
    </row>
    <row r="435" spans="1:7" ht="15.75" x14ac:dyDescent="0.25">
      <c r="A435" s="5" t="s">
        <v>194</v>
      </c>
      <c r="B435" s="4" t="s">
        <v>120</v>
      </c>
      <c r="C435" s="12"/>
      <c r="D435" s="4"/>
      <c r="E435" s="4"/>
      <c r="F435" s="23"/>
      <c r="G435" s="11"/>
    </row>
    <row r="436" spans="1:7" ht="15.75" x14ac:dyDescent="0.25">
      <c r="A436" s="5" t="s">
        <v>195</v>
      </c>
      <c r="B436" s="4" t="s">
        <v>188</v>
      </c>
      <c r="C436" s="12"/>
      <c r="D436" s="4"/>
      <c r="E436" s="4"/>
      <c r="F436" s="23"/>
      <c r="G436" s="11"/>
    </row>
    <row r="437" spans="1:7" ht="15.75" x14ac:dyDescent="0.25">
      <c r="A437" s="5" t="s">
        <v>194</v>
      </c>
      <c r="B437" s="4" t="s">
        <v>120</v>
      </c>
      <c r="C437" s="12"/>
      <c r="D437" s="4"/>
      <c r="E437" s="4"/>
      <c r="F437" s="23"/>
      <c r="G437" s="11"/>
    </row>
    <row r="438" spans="1:7" ht="15.75" x14ac:dyDescent="0.25">
      <c r="A438" s="5" t="s">
        <v>195</v>
      </c>
      <c r="B438" s="4" t="s">
        <v>188</v>
      </c>
      <c r="C438" s="12"/>
      <c r="D438" s="4"/>
      <c r="E438" s="4"/>
      <c r="F438" s="23"/>
      <c r="G438" s="11"/>
    </row>
    <row r="439" spans="1:7" ht="15.75" x14ac:dyDescent="0.25">
      <c r="A439" s="5"/>
      <c r="B439" s="4"/>
      <c r="C439" s="12"/>
      <c r="D439" s="4"/>
      <c r="E439" s="4"/>
      <c r="F439" s="29"/>
      <c r="G439" s="30"/>
    </row>
    <row r="440" spans="1:7" ht="15.75" x14ac:dyDescent="0.25">
      <c r="A440" s="6"/>
      <c r="B440" s="4"/>
      <c r="C440" s="12"/>
      <c r="D440" s="4"/>
      <c r="E440" s="4" t="s">
        <v>115</v>
      </c>
      <c r="F440" s="24"/>
      <c r="G440" s="9"/>
    </row>
    <row r="441" spans="1:7" ht="15.75" x14ac:dyDescent="0.25">
      <c r="A441" s="6" t="s">
        <v>206</v>
      </c>
      <c r="B441" s="4"/>
      <c r="C441" s="12">
        <f>SUBTOTAL(9,C404:C440)</f>
        <v>58250.78</v>
      </c>
      <c r="D441" s="4"/>
      <c r="E441" s="4" t="s">
        <v>1196</v>
      </c>
      <c r="F441" s="24"/>
      <c r="G441" s="9"/>
    </row>
    <row r="442" spans="1:7" ht="15.75" x14ac:dyDescent="0.25">
      <c r="A442" s="5" t="s">
        <v>40</v>
      </c>
      <c r="B442" s="6" t="s">
        <v>295</v>
      </c>
      <c r="C442" s="16"/>
      <c r="D442" s="4"/>
      <c r="E442" s="4" t="s">
        <v>115</v>
      </c>
      <c r="F442" s="24"/>
      <c r="G442" s="9"/>
    </row>
    <row r="444" spans="1:7" ht="21" x14ac:dyDescent="0.35">
      <c r="A444" s="127" t="s">
        <v>187</v>
      </c>
      <c r="B444" s="127"/>
      <c r="C444" s="127"/>
      <c r="D444" s="127"/>
      <c r="E444" s="127"/>
      <c r="F444" s="127"/>
      <c r="G444" s="128"/>
    </row>
    <row r="445" spans="1:7" ht="15.75" x14ac:dyDescent="0.25">
      <c r="A445" s="5" t="s">
        <v>7</v>
      </c>
      <c r="B445" s="4" t="s">
        <v>37</v>
      </c>
      <c r="C445" s="17" t="s">
        <v>6</v>
      </c>
      <c r="D445" s="4" t="s">
        <v>3</v>
      </c>
      <c r="E445" s="4" t="s">
        <v>9</v>
      </c>
      <c r="F445" s="24" t="s">
        <v>13</v>
      </c>
      <c r="G445" s="9" t="s">
        <v>14</v>
      </c>
    </row>
    <row r="446" spans="1:7" ht="15.75" x14ac:dyDescent="0.25">
      <c r="A446" s="5" t="s">
        <v>187</v>
      </c>
      <c r="B446" s="4" t="s">
        <v>85</v>
      </c>
      <c r="C446" s="12" t="s">
        <v>69</v>
      </c>
      <c r="D446" s="4" t="s">
        <v>4</v>
      </c>
      <c r="E446" s="4" t="s">
        <v>4</v>
      </c>
      <c r="F446" s="24"/>
      <c r="G446" s="9"/>
    </row>
    <row r="447" spans="1:7" ht="15.75" x14ac:dyDescent="0.25">
      <c r="A447" s="5" t="s">
        <v>879</v>
      </c>
      <c r="B447" s="4" t="s">
        <v>8</v>
      </c>
      <c r="C447" s="12" t="s">
        <v>69</v>
      </c>
      <c r="D447" s="4" t="s">
        <v>4</v>
      </c>
      <c r="E447" s="4" t="s">
        <v>4</v>
      </c>
      <c r="F447" s="24"/>
      <c r="G447" s="9"/>
    </row>
    <row r="448" spans="1:7" ht="15.75" x14ac:dyDescent="0.25">
      <c r="A448" s="5" t="s">
        <v>187</v>
      </c>
      <c r="B448" s="4" t="s">
        <v>85</v>
      </c>
      <c r="C448" s="12" t="s">
        <v>69</v>
      </c>
      <c r="D448" s="4" t="s">
        <v>4</v>
      </c>
      <c r="E448" s="4" t="s">
        <v>4</v>
      </c>
      <c r="F448" s="24"/>
      <c r="G448" s="9"/>
    </row>
    <row r="449" spans="1:7" ht="15.75" x14ac:dyDescent="0.25">
      <c r="A449" s="5" t="s">
        <v>879</v>
      </c>
      <c r="B449" s="4" t="s">
        <v>8</v>
      </c>
      <c r="C449" s="12" t="s">
        <v>69</v>
      </c>
      <c r="D449" s="4" t="s">
        <v>4</v>
      </c>
      <c r="E449" s="4" t="s">
        <v>4</v>
      </c>
      <c r="F449" s="24"/>
      <c r="G449" s="9"/>
    </row>
    <row r="450" spans="1:7" ht="15.75" x14ac:dyDescent="0.25">
      <c r="A450" s="5" t="s">
        <v>198</v>
      </c>
      <c r="B450" s="4" t="s">
        <v>85</v>
      </c>
      <c r="C450" s="13"/>
      <c r="D450" s="4"/>
      <c r="E450" s="4"/>
      <c r="F450" s="24"/>
      <c r="G450" s="9"/>
    </row>
    <row r="451" spans="1:7" ht="15.75" x14ac:dyDescent="0.25">
      <c r="A451" s="5" t="s">
        <v>199</v>
      </c>
      <c r="B451" s="4" t="s">
        <v>8</v>
      </c>
      <c r="C451" s="13"/>
      <c r="D451" s="4"/>
      <c r="E451" s="4"/>
      <c r="F451" s="24"/>
      <c r="G451" s="9"/>
    </row>
    <row r="452" spans="1:7" ht="15.75" x14ac:dyDescent="0.25">
      <c r="A452" s="5" t="s">
        <v>198</v>
      </c>
      <c r="B452" s="4" t="s">
        <v>85</v>
      </c>
      <c r="C452" s="13"/>
      <c r="D452" s="8"/>
      <c r="E452" s="4"/>
      <c r="F452" s="24"/>
      <c r="G452" s="9"/>
    </row>
    <row r="453" spans="1:7" ht="15.75" x14ac:dyDescent="0.25">
      <c r="A453" s="5" t="s">
        <v>199</v>
      </c>
      <c r="B453" s="4" t="s">
        <v>8</v>
      </c>
      <c r="C453" s="13"/>
      <c r="D453" s="8"/>
      <c r="E453" s="4"/>
      <c r="F453" s="24"/>
      <c r="G453" s="9"/>
    </row>
    <row r="454" spans="1:7" ht="15.75" x14ac:dyDescent="0.25">
      <c r="A454" s="5" t="s">
        <v>198</v>
      </c>
      <c r="B454" s="4" t="s">
        <v>85</v>
      </c>
      <c r="C454" s="13"/>
      <c r="D454" s="8"/>
      <c r="E454" s="8"/>
      <c r="F454" s="24"/>
      <c r="G454" s="9"/>
    </row>
    <row r="455" spans="1:7" ht="15.75" x14ac:dyDescent="0.25">
      <c r="A455" s="5" t="s">
        <v>199</v>
      </c>
      <c r="B455" s="4" t="s">
        <v>8</v>
      </c>
      <c r="C455" s="13"/>
      <c r="D455" s="8"/>
      <c r="E455" s="8"/>
      <c r="F455" s="24"/>
      <c r="G455" s="9"/>
    </row>
    <row r="456" spans="1:7" ht="15.75" x14ac:dyDescent="0.25">
      <c r="A456" s="5"/>
      <c r="B456" s="4"/>
      <c r="C456" s="12"/>
      <c r="D456" s="4"/>
      <c r="E456" s="4"/>
      <c r="F456" s="24"/>
      <c r="G456" s="9"/>
    </row>
    <row r="457" spans="1:7" ht="15.75" x14ac:dyDescent="0.25">
      <c r="A457" s="5"/>
      <c r="B457" s="4"/>
      <c r="C457" s="12"/>
      <c r="D457" s="4"/>
      <c r="E457" s="4"/>
      <c r="F457" s="23"/>
      <c r="G457" s="11"/>
    </row>
    <row r="458" spans="1:7" ht="15.75" x14ac:dyDescent="0.25">
      <c r="A458" s="5"/>
      <c r="B458" s="4"/>
      <c r="C458" s="12"/>
      <c r="D458" s="4"/>
      <c r="E458" s="4"/>
      <c r="F458" s="24"/>
      <c r="G458" s="9"/>
    </row>
    <row r="459" spans="1:7" ht="15.75" x14ac:dyDescent="0.25">
      <c r="A459" s="10"/>
      <c r="B459" s="8"/>
      <c r="C459" s="13"/>
      <c r="D459" s="8"/>
      <c r="E459" s="8"/>
      <c r="F459" s="24"/>
      <c r="G459" s="9"/>
    </row>
    <row r="460" spans="1:7" ht="15.75" x14ac:dyDescent="0.25">
      <c r="A460" s="5"/>
      <c r="B460" s="8"/>
      <c r="C460" s="13"/>
      <c r="D460" s="8"/>
      <c r="E460" s="8"/>
      <c r="F460" s="24"/>
      <c r="G460" s="9"/>
    </row>
    <row r="461" spans="1:7" ht="15.75" x14ac:dyDescent="0.25">
      <c r="A461" s="10"/>
      <c r="B461" s="8"/>
      <c r="C461" s="13"/>
      <c r="D461" s="8"/>
      <c r="E461" s="8"/>
      <c r="F461" s="24"/>
      <c r="G461" s="9"/>
    </row>
    <row r="462" spans="1:7" ht="15.75" x14ac:dyDescent="0.25">
      <c r="A462" s="5"/>
      <c r="B462" s="4"/>
      <c r="C462" s="15"/>
      <c r="D462" s="4"/>
      <c r="E462" s="4" t="s">
        <v>115</v>
      </c>
      <c r="F462" s="24"/>
      <c r="G462" s="9"/>
    </row>
    <row r="463" spans="1:7" ht="15.75" x14ac:dyDescent="0.25">
      <c r="A463" s="6" t="s">
        <v>206</v>
      </c>
      <c r="B463" s="4"/>
      <c r="C463" s="12">
        <f>SUBTOTAL(9,C446:C462)</f>
        <v>0</v>
      </c>
      <c r="D463" s="4"/>
      <c r="E463" s="4" t="s">
        <v>115</v>
      </c>
      <c r="F463" s="24"/>
      <c r="G463" s="9"/>
    </row>
    <row r="464" spans="1:7" ht="15.75" x14ac:dyDescent="0.25">
      <c r="A464" s="5" t="s">
        <v>40</v>
      </c>
      <c r="B464" s="6" t="s">
        <v>295</v>
      </c>
      <c r="C464" s="16"/>
      <c r="D464" s="4"/>
      <c r="E464" s="4" t="s">
        <v>115</v>
      </c>
      <c r="F464" s="24"/>
      <c r="G464" s="9"/>
    </row>
  </sheetData>
  <mergeCells count="7">
    <mergeCell ref="A444:G444"/>
    <mergeCell ref="A1:H1"/>
    <mergeCell ref="J1:AA1"/>
    <mergeCell ref="J21:Q21"/>
    <mergeCell ref="J42:S42"/>
    <mergeCell ref="A385:H385"/>
    <mergeCell ref="A402:G402"/>
  </mergeCells>
  <pageMargins left="0.511811024" right="0.511811024" top="0.78740157499999996" bottom="0.78740157499999996" header="0.31496062000000002" footer="0.31496062000000002"/>
  <pageSetup paperSize="9" scale="21" fitToHeight="0" orientation="portrait" horizontalDpi="300" verticalDpi="3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DESPESAS 01-2026</vt:lpstr>
      <vt:lpstr>DESPESAS 02-2026</vt:lpstr>
      <vt:lpstr>DESPESAS 03-2026</vt:lpstr>
      <vt:lpstr>DESPESAS 04-2026</vt:lpstr>
      <vt:lpstr>DESPESAS 05-2026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cp:lastPrinted>2026-03-09T17:42:03Z</cp:lastPrinted>
  <dcterms:created xsi:type="dcterms:W3CDTF">2024-07-16T14:55:40Z</dcterms:created>
  <dcterms:modified xsi:type="dcterms:W3CDTF">2026-05-18T14:39:42Z</dcterms:modified>
</cp:coreProperties>
</file>